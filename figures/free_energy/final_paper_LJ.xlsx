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" sheetId="1" r:id="rId5"/>
    <sheet state="visible" name="TRAIN-DS-RMIN-WAT" sheetId="2" r:id="rId6"/>
    <sheet state="visible" name="TRAIN-DS-RMIN-CHX" sheetId="3" r:id="rId7"/>
    <sheet state="visible" name="TRAIN-DS-MM-VACUUM-WAT" sheetId="4" r:id="rId8"/>
    <sheet state="visible" name="TRAIN-DS-MM-VACUUM-CHX" sheetId="5" r:id="rId9"/>
    <sheet state="visible" name="SAMPL5-WAT-EE" sheetId="6" r:id="rId10"/>
    <sheet state="visible" name="SAMPL5-CHX-EE" sheetId="7" r:id="rId11"/>
    <sheet state="visible" name="SAMPL5-WAT-ME" sheetId="8" r:id="rId12"/>
    <sheet state="visible" name="SAMPL5-CHX-ME" sheetId="9" r:id="rId13"/>
  </sheets>
  <definedNames/>
  <calcPr/>
</workbook>
</file>

<file path=xl/sharedStrings.xml><?xml version="1.0" encoding="utf-8"?>
<sst xmlns="http://schemas.openxmlformats.org/spreadsheetml/2006/main" count="662" uniqueCount="89">
  <si>
    <t>Molecule</t>
  </si>
  <si>
    <t>WAT</t>
  </si>
  <si>
    <t>CHX</t>
  </si>
  <si>
    <t>n-pentane</t>
  </si>
  <si>
    <t>n-octane</t>
  </si>
  <si>
    <t>benzene</t>
  </si>
  <si>
    <t>naphthalene</t>
  </si>
  <si>
    <t>water</t>
  </si>
  <si>
    <t>methanol</t>
  </si>
  <si>
    <t>o-cresol</t>
  </si>
  <si>
    <t>aceticacid</t>
  </si>
  <si>
    <t>1_4-dioxane</t>
  </si>
  <si>
    <t>methylpentanoate</t>
  </si>
  <si>
    <t>methylbenzoate</t>
  </si>
  <si>
    <t>2-pentanone</t>
  </si>
  <si>
    <t>ethylphenylether</t>
  </si>
  <si>
    <t>m-hydroxybenzaldehyde</t>
  </si>
  <si>
    <t>acetonitrile</t>
  </si>
  <si>
    <t>pyridine</t>
  </si>
  <si>
    <t>aniline</t>
  </si>
  <si>
    <t>benzamide</t>
  </si>
  <si>
    <t>1-propanethiol</t>
  </si>
  <si>
    <t>thioanisole</t>
  </si>
  <si>
    <t>Settings</t>
  </si>
  <si>
    <t>ΔG Data</t>
  </si>
  <si>
    <t>MM FFs</t>
  </si>
  <si>
    <t>ML potential</t>
  </si>
  <si>
    <t>Patched-Iter2-Species-Rep1</t>
  </si>
  <si>
    <t>Patched-Iter2-Species-Rep2</t>
  </si>
  <si>
    <t>Patched-Iter2-Species-Rep3</t>
  </si>
  <si>
    <t>XDM-Rep1</t>
  </si>
  <si>
    <t>XDM-Rep2</t>
  </si>
  <si>
    <t>XDM-Rep3</t>
  </si>
  <si>
    <t>XDM-EXP-Rep1</t>
  </si>
  <si>
    <t>XDM-EXP-Rep2</t>
  </si>
  <si>
    <t>XDM-EXP-Rep3</t>
  </si>
  <si>
    <t>Patched-Iter2-Static-Reference-Rep1</t>
  </si>
  <si>
    <t>Patched-Iter2-Static-Reference-Rep2</t>
  </si>
  <si>
    <t>Patched-Iter2-Static-Reference-Rep3</t>
  </si>
  <si>
    <t>OpenFF-2.0.0/TIP3P</t>
  </si>
  <si>
    <t>MACE-OFF23(S)</t>
  </si>
  <si>
    <t>MM-Rep1</t>
  </si>
  <si>
    <t>MM-Rep2</t>
  </si>
  <si>
    <t>MM-Rep3</t>
  </si>
  <si>
    <t>Vacuum-Rep1</t>
  </si>
  <si>
    <t>Vacuum-Rep2</t>
  </si>
  <si>
    <t>Vacuum-Rep3</t>
  </si>
  <si>
    <t>ME-Rep1</t>
  </si>
  <si>
    <t>ME-Rep2</t>
  </si>
  <si>
    <t>ME-Rep3</t>
  </si>
  <si>
    <t>OpenFF-2.0.0/CHX</t>
  </si>
  <si>
    <t>MACE-OFF23(S)-Rep1</t>
  </si>
  <si>
    <t>MACE-OFF23(S)-Rep2</t>
  </si>
  <si>
    <t>MACE-OFF23(S)-Rep3</t>
  </si>
  <si>
    <t>MACE-OFF24(M)-Rep1</t>
  </si>
  <si>
    <t>MACE-OFF24(M)-Rep2</t>
  </si>
  <si>
    <t>MACE-OFF24(M)-Rep3</t>
  </si>
  <si>
    <t>FeNNix-Bio1(S)-Rep1</t>
  </si>
  <si>
    <t>FeNNix-Bio1(S)-Rep2</t>
  </si>
  <si>
    <t>FeNNix-Bio1(S)-Rep3</t>
  </si>
  <si>
    <t>FeNNix-Bio1(M)-Rep1</t>
  </si>
  <si>
    <t>FeNNix-Bio1(M)-Rep2</t>
  </si>
  <si>
    <t>FeNNix-Bio1(M)-Rep3</t>
  </si>
  <si>
    <t>MM-XDM-Rep1</t>
  </si>
  <si>
    <t>MM-XDM-Rep2</t>
  </si>
  <si>
    <t>MM-XDM-Rep3</t>
  </si>
  <si>
    <t>SAMPL5_019</t>
  </si>
  <si>
    <t>SAMPL5_020</t>
  </si>
  <si>
    <t>SAMPL5_021</t>
  </si>
  <si>
    <t>SAMPL5_046</t>
  </si>
  <si>
    <t>SAMPL5_058</t>
  </si>
  <si>
    <t>SAMPL5_068</t>
  </si>
  <si>
    <t>-</t>
  </si>
  <si>
    <t>SAMPL5_071</t>
  </si>
  <si>
    <t>SAMPL5_074</t>
  </si>
  <si>
    <t>SAMPL5_080</t>
  </si>
  <si>
    <t>SAMPL5_090</t>
  </si>
  <si>
    <t>WAT-REP1</t>
  </si>
  <si>
    <t>WAT-REP2</t>
  </si>
  <si>
    <t>WAT-REP3</t>
  </si>
  <si>
    <t>CHX-REP1</t>
  </si>
  <si>
    <t>CHX-REP2</t>
  </si>
  <si>
    <t>CHX-REP3</t>
  </si>
  <si>
    <t>logP-MM-Rep1</t>
  </si>
  <si>
    <t>EXP</t>
  </si>
  <si>
    <t xml:space="preserve">logP-MACE-OFF23(S)
</t>
  </si>
  <si>
    <t xml:space="preserve">logP-MACE-OFF24(M)
</t>
  </si>
  <si>
    <t>logP-FeNNix-Bio1(S)</t>
  </si>
  <si>
    <t>logP-FeNNix-Bio1(M)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</si>
</sst>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0">
    <font>
      <sz val="10.0"/>
      <color rgb="FF000000"/>
      <name val="Arial"/>
      <scheme val="minor"/>
    </font>
    <font>
      <b/>
      <sz val="10.0"/>
      <color rgb="FF000000"/>
      <name val="Arial"/>
    </font>
    <font>
      <b/>
      <sz val="10.0"/>
      <color theme="1"/>
      <name val="Arial"/>
    </font>
    <font>
      <sz val="10.0"/>
      <color rgb="FF000000"/>
      <name val="Arial"/>
    </font>
    <font/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A6CAEC"/>
        <bgColor rgb="FFA6CAEC"/>
      </patternFill>
    </fill>
    <fill>
      <patternFill patternType="solid">
        <fgColor rgb="FFC2F1C8"/>
        <bgColor rgb="FFC2F1C8"/>
      </patternFill>
    </fill>
    <fill>
      <patternFill patternType="solid">
        <fgColor rgb="FFF6C6AD"/>
        <bgColor rgb="FFF6C6AD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2" xfId="0" applyAlignment="1" applyBorder="1" applyFill="1" applyFont="1" applyNumberFormat="1">
      <alignment horizontal="center" shrinkToFit="0" wrapText="1"/>
    </xf>
    <xf borderId="0" fillId="3" fontId="2" numFmtId="0" xfId="0" applyAlignment="1" applyFill="1" applyFont="1">
      <alignment horizontal="center" readingOrder="0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0" fontId="3" numFmtId="2" xfId="0" applyAlignment="1" applyFont="1" applyNumberFormat="1">
      <alignment horizontal="center" readingOrder="0" shrinkToFit="0" wrapText="1"/>
    </xf>
    <xf borderId="2" fillId="3" fontId="1" numFmtId="2" xfId="0" applyAlignment="1" applyBorder="1" applyFont="1" applyNumberFormat="1">
      <alignment horizontal="center" shrinkToFit="0" wrapText="1"/>
    </xf>
    <xf borderId="3" fillId="0" fontId="4" numFmtId="0" xfId="0" applyBorder="1" applyFont="1"/>
    <xf borderId="4" fillId="0" fontId="4" numFmtId="0" xfId="0" applyBorder="1" applyFont="1"/>
    <xf borderId="2" fillId="4" fontId="1" numFmtId="2" xfId="0" applyAlignment="1" applyBorder="1" applyFill="1" applyFont="1" applyNumberFormat="1">
      <alignment horizontal="center" shrinkToFit="0" wrapText="1"/>
    </xf>
    <xf borderId="1" fillId="5" fontId="1" numFmtId="2" xfId="0" applyAlignment="1" applyBorder="1" applyFill="1" applyFont="1" applyNumberFormat="1">
      <alignment horizontal="center" readingOrder="0" shrinkToFit="0" wrapText="1"/>
    </xf>
    <xf borderId="0" fillId="0" fontId="3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 readingOrder="0" shrinkToFit="0" wrapText="1"/>
    </xf>
    <xf borderId="0" fillId="0" fontId="6" numFmtId="2" xfId="0" applyAlignment="1" applyFont="1" applyNumberFormat="1">
      <alignment horizontal="center" shrinkToFit="0" vertical="bottom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6" numFmtId="2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/>
    </xf>
    <xf borderId="0" fillId="6" fontId="5" numFmtId="2" xfId="0" applyAlignment="1" applyFill="1" applyFont="1" applyNumberFormat="1">
      <alignment horizontal="center" readingOrder="0" shrinkToFit="0" wrapText="1"/>
    </xf>
    <xf borderId="0" fillId="0" fontId="5" numFmtId="2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7" numFmtId="2" xfId="0" applyAlignment="1" applyFont="1" applyNumberFormat="1">
      <alignment horizontal="center" readingOrder="0"/>
    </xf>
    <xf borderId="0" fillId="0" fontId="7" numFmtId="0" xfId="0" applyAlignment="1" applyFont="1">
      <alignment readingOrder="0"/>
    </xf>
    <xf borderId="0" fillId="0" fontId="1" numFmtId="2" xfId="0" applyAlignment="1" applyFont="1" applyNumberFormat="1">
      <alignment horizontal="center" readingOrder="0" shrinkToFit="0" wrapText="1"/>
    </xf>
    <xf borderId="0" fillId="0" fontId="8" numFmtId="2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7" numFmtId="2" xfId="0" applyAlignment="1" applyFont="1" applyNumberFormat="1">
      <alignment horizontal="center"/>
    </xf>
    <xf borderId="0" fillId="0" fontId="9" numFmtId="2" xfId="0" applyAlignment="1" applyFont="1" applyNumberFormat="1">
      <alignment horizontal="center" readingOrder="0"/>
    </xf>
    <xf borderId="0" fillId="0" fontId="6" numFmtId="2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1" fillId="0" fontId="1" numFmtId="2" xfId="0" applyAlignment="1" applyBorder="1" applyFont="1" applyNumberFormat="1">
      <alignment horizontal="center" readingOrder="0" shrinkToFit="0" wrapText="1"/>
    </xf>
    <xf borderId="1" fillId="0" fontId="9" numFmtId="2" xfId="0" applyAlignment="1" applyBorder="1" applyFont="1" applyNumberFormat="1">
      <alignment horizontal="center" readingOrder="0" shrinkToFit="0" vertical="bottom" wrapText="1"/>
    </xf>
    <xf borderId="0" fillId="0" fontId="9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</row>
    <row r="2">
      <c r="A2" s="3" t="s">
        <v>3</v>
      </c>
      <c r="B2" s="4">
        <v>2.33</v>
      </c>
      <c r="C2" s="4">
        <v>-3.5</v>
      </c>
    </row>
    <row r="3">
      <c r="A3" s="3" t="s">
        <v>4</v>
      </c>
      <c r="B3" s="4">
        <v>2.89</v>
      </c>
      <c r="C3" s="4">
        <v>-5.63</v>
      </c>
    </row>
    <row r="4">
      <c r="A4" s="3" t="s">
        <v>5</v>
      </c>
      <c r="B4" s="4">
        <v>-0.87</v>
      </c>
      <c r="C4" s="4">
        <v>-4.19</v>
      </c>
    </row>
    <row r="5">
      <c r="A5" s="3" t="s">
        <v>6</v>
      </c>
      <c r="B5" s="4">
        <v>-2.39</v>
      </c>
      <c r="C5" s="4">
        <v>-7.17</v>
      </c>
    </row>
    <row r="6">
      <c r="A6" s="3" t="s">
        <v>7</v>
      </c>
      <c r="B6" s="4">
        <v>-6.31</v>
      </c>
      <c r="C6" s="4">
        <v>-0.39</v>
      </c>
    </row>
    <row r="7">
      <c r="A7" s="3" t="s">
        <v>8</v>
      </c>
      <c r="B7" s="4">
        <v>-5.11</v>
      </c>
      <c r="C7" s="4">
        <v>-1.29</v>
      </c>
    </row>
    <row r="8">
      <c r="A8" s="3" t="s">
        <v>9</v>
      </c>
      <c r="B8" s="4">
        <v>-5.87</v>
      </c>
      <c r="C8" s="4">
        <v>-6.02</v>
      </c>
    </row>
    <row r="9">
      <c r="A9" s="3" t="s">
        <v>10</v>
      </c>
      <c r="B9" s="4">
        <v>-6.7</v>
      </c>
      <c r="C9" s="4">
        <v>-1.73</v>
      </c>
    </row>
    <row r="10">
      <c r="A10" s="3" t="s">
        <v>11</v>
      </c>
      <c r="B10" s="4">
        <v>-5.05</v>
      </c>
      <c r="C10" s="4">
        <v>-4.17</v>
      </c>
    </row>
    <row r="11">
      <c r="A11" s="5" t="s">
        <v>12</v>
      </c>
      <c r="B11" s="4">
        <v>-2.57</v>
      </c>
      <c r="C11" s="4">
        <v>-5.04</v>
      </c>
    </row>
    <row r="12">
      <c r="A12" s="5" t="s">
        <v>13</v>
      </c>
      <c r="B12" s="4">
        <v>-3.91</v>
      </c>
      <c r="C12" s="4">
        <v>-7.01</v>
      </c>
    </row>
    <row r="13">
      <c r="A13" s="5" t="s">
        <v>14</v>
      </c>
      <c r="B13" s="4">
        <v>-3.53</v>
      </c>
      <c r="C13" s="4">
        <v>-4.19</v>
      </c>
    </row>
    <row r="14">
      <c r="A14" s="5" t="s">
        <v>15</v>
      </c>
      <c r="B14" s="4">
        <v>-2.22</v>
      </c>
      <c r="C14" s="4">
        <v>-6.0</v>
      </c>
    </row>
    <row r="15">
      <c r="A15" s="5" t="s">
        <v>16</v>
      </c>
      <c r="B15" s="4">
        <v>-9.51</v>
      </c>
      <c r="C15" s="4">
        <v>-6.88</v>
      </c>
    </row>
    <row r="16">
      <c r="A16" s="5" t="s">
        <v>17</v>
      </c>
      <c r="B16" s="4">
        <v>-3.89</v>
      </c>
      <c r="C16" s="4">
        <v>-1.87</v>
      </c>
    </row>
    <row r="17">
      <c r="A17" s="5" t="s">
        <v>18</v>
      </c>
      <c r="B17" s="4">
        <v>-4.7</v>
      </c>
      <c r="C17" s="4">
        <v>-4.3</v>
      </c>
    </row>
    <row r="18">
      <c r="A18" s="5" t="s">
        <v>19</v>
      </c>
      <c r="B18" s="4">
        <v>-5.49</v>
      </c>
      <c r="C18" s="4">
        <v>-5.52</v>
      </c>
    </row>
    <row r="19">
      <c r="A19" s="5" t="s">
        <v>20</v>
      </c>
      <c r="B19" s="4">
        <v>-10.9</v>
      </c>
      <c r="C19" s="4">
        <v>-8.72</v>
      </c>
    </row>
    <row r="20">
      <c r="A20" s="5" t="s">
        <v>21</v>
      </c>
      <c r="B20" s="4">
        <v>-1.05</v>
      </c>
      <c r="C20" s="4">
        <v>-3.12</v>
      </c>
    </row>
    <row r="21">
      <c r="A21" s="5" t="s">
        <v>22</v>
      </c>
      <c r="B21" s="4">
        <v>-2.73</v>
      </c>
      <c r="C21" s="4">
        <v>-5.66</v>
      </c>
    </row>
  </sheetData>
  <conditionalFormatting sqref="A1:A21">
    <cfRule type="notContainsBlanks" dxfId="0" priority="1">
      <formula>LEN(TRIM(A1))&gt;0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9" width="12.63"/>
    <col customWidth="1" min="10" max="10" width="14.0"/>
    <col customWidth="1" min="11" max="11" width="13.5"/>
    <col customWidth="1" min="12" max="12" width="14.0"/>
    <col customWidth="1" min="13" max="13" width="17.63"/>
    <col customWidth="1" min="14" max="14" width="17.38"/>
    <col customWidth="1" min="15" max="15" width="17.0"/>
    <col customWidth="1" min="16" max="18" width="12.63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>
      <c r="A2" s="1" t="s">
        <v>0</v>
      </c>
      <c r="B2" s="1" t="s">
        <v>25</v>
      </c>
      <c r="C2" s="1" t="s">
        <v>26</v>
      </c>
      <c r="D2" s="10" t="s">
        <v>27</v>
      </c>
      <c r="E2" s="10" t="s">
        <v>28</v>
      </c>
      <c r="F2" s="10" t="s">
        <v>29</v>
      </c>
      <c r="G2" s="10" t="s">
        <v>30</v>
      </c>
      <c r="H2" s="10" t="s">
        <v>31</v>
      </c>
      <c r="I2" s="10" t="s">
        <v>32</v>
      </c>
      <c r="J2" s="10" t="s">
        <v>33</v>
      </c>
      <c r="K2" s="10" t="s">
        <v>34</v>
      </c>
      <c r="L2" s="10" t="s">
        <v>35</v>
      </c>
      <c r="M2" s="10" t="s">
        <v>36</v>
      </c>
      <c r="N2" s="10" t="s">
        <v>37</v>
      </c>
      <c r="O2" s="10" t="s">
        <v>38</v>
      </c>
      <c r="P2" s="10"/>
      <c r="Q2" s="10"/>
      <c r="R2" s="10"/>
      <c r="S2" s="10"/>
      <c r="T2" s="10"/>
      <c r="U2" s="10"/>
      <c r="V2" s="10"/>
      <c r="W2" s="10"/>
      <c r="X2" s="10"/>
    </row>
    <row r="3">
      <c r="A3" s="3" t="s">
        <v>3</v>
      </c>
      <c r="B3" s="5" t="s">
        <v>39</v>
      </c>
      <c r="C3" s="11" t="s">
        <v>40</v>
      </c>
      <c r="D3" s="12">
        <v>-1624.13404906281</v>
      </c>
      <c r="E3" s="12">
        <v>-1624.18888480759</v>
      </c>
      <c r="F3" s="12">
        <v>-1624.13074279361</v>
      </c>
      <c r="G3" s="5">
        <v>-1623.90063512822</v>
      </c>
      <c r="H3" s="5">
        <v>-1623.80573104545</v>
      </c>
      <c r="I3" s="5">
        <v>-1623.83091956177</v>
      </c>
      <c r="J3" s="3">
        <v>-1623.33929690333</v>
      </c>
      <c r="K3" s="12">
        <v>-1623.33834330705</v>
      </c>
      <c r="L3" s="12">
        <v>-1623.33219978158</v>
      </c>
      <c r="M3" s="12">
        <v>-1623.95304679196</v>
      </c>
      <c r="N3" s="12">
        <v>-1623.9364054274</v>
      </c>
      <c r="O3" s="12">
        <v>-1623.9555505389</v>
      </c>
      <c r="P3" s="13"/>
      <c r="Q3" s="12"/>
      <c r="R3" s="12"/>
      <c r="S3" s="14"/>
      <c r="T3" s="14"/>
      <c r="U3" s="14"/>
      <c r="V3" s="15"/>
      <c r="W3" s="15"/>
      <c r="X3" s="15"/>
    </row>
    <row r="4">
      <c r="A4" s="3" t="s">
        <v>4</v>
      </c>
      <c r="B4" s="5" t="s">
        <v>39</v>
      </c>
      <c r="C4" s="11" t="s">
        <v>40</v>
      </c>
      <c r="D4" s="12">
        <v>-2526.36062747089</v>
      </c>
      <c r="E4" s="12">
        <v>-2526.47053539728</v>
      </c>
      <c r="F4" s="12">
        <v>-2526.46149000646</v>
      </c>
      <c r="G4" s="5">
        <v>-2525.67619847168</v>
      </c>
      <c r="H4" s="5">
        <v>-2525.48410372214</v>
      </c>
      <c r="I4" s="5">
        <v>-2525.59357368967</v>
      </c>
      <c r="J4" s="3">
        <v>-2524.64383793277</v>
      </c>
      <c r="K4" s="12">
        <v>-2524.69363249799</v>
      </c>
      <c r="L4" s="12">
        <v>-2524.66437696726</v>
      </c>
      <c r="M4" s="12">
        <v>-2526.25692470736</v>
      </c>
      <c r="N4" s="12">
        <v>-2526.34469200155</v>
      </c>
      <c r="O4" s="12">
        <v>-2526.17865335833</v>
      </c>
      <c r="P4" s="13"/>
      <c r="Q4" s="12"/>
      <c r="R4" s="12"/>
      <c r="S4" s="14"/>
      <c r="T4" s="14"/>
      <c r="U4" s="14"/>
      <c r="V4" s="15"/>
      <c r="W4" s="15"/>
      <c r="X4" s="15"/>
    </row>
    <row r="5">
      <c r="A5" s="3" t="s">
        <v>5</v>
      </c>
      <c r="B5" s="5" t="s">
        <v>39</v>
      </c>
      <c r="C5" s="11" t="s">
        <v>40</v>
      </c>
      <c r="D5" s="12">
        <v>-1390.96326638532</v>
      </c>
      <c r="E5" s="12">
        <v>-1390.96826679771</v>
      </c>
      <c r="F5" s="12">
        <v>-1390.95208151649</v>
      </c>
      <c r="G5" s="5">
        <v>-1391.74023778791</v>
      </c>
      <c r="H5" s="5">
        <v>-1391.72545521826</v>
      </c>
      <c r="I5" s="5">
        <v>-1391.71779534967</v>
      </c>
      <c r="J5" s="3">
        <v>-1390.57874655661</v>
      </c>
      <c r="K5" s="12">
        <v>-1390.56032652569</v>
      </c>
      <c r="L5" s="12">
        <v>-1390.58907849831</v>
      </c>
      <c r="M5" s="12">
        <v>-1390.7499431292</v>
      </c>
      <c r="N5" s="12">
        <v>-1390.7315094651</v>
      </c>
      <c r="O5" s="12">
        <v>-1390.74996262643</v>
      </c>
      <c r="P5" s="13"/>
      <c r="Q5" s="12"/>
      <c r="R5" s="12"/>
      <c r="S5" s="14"/>
      <c r="T5" s="14"/>
      <c r="U5" s="14"/>
      <c r="V5" s="15"/>
      <c r="W5" s="15"/>
      <c r="X5" s="15"/>
    </row>
    <row r="6">
      <c r="A6" s="3" t="s">
        <v>6</v>
      </c>
      <c r="B6" s="5" t="s">
        <v>39</v>
      </c>
      <c r="C6" s="11" t="s">
        <v>40</v>
      </c>
      <c r="D6" s="12">
        <v>-2196.94584758253</v>
      </c>
      <c r="E6" s="12">
        <v>-2196.9092876811</v>
      </c>
      <c r="F6" s="12">
        <v>-2196.92136632126</v>
      </c>
      <c r="G6" s="5">
        <v>-2198.38765598913</v>
      </c>
      <c r="H6" s="5">
        <v>-2198.2407679414</v>
      </c>
      <c r="I6" s="5">
        <v>-2198.33269286224</v>
      </c>
      <c r="J6" s="3">
        <v>-2196.61198311674</v>
      </c>
      <c r="K6" s="12">
        <v>-2196.69375441765</v>
      </c>
      <c r="L6" s="12">
        <v>-2196.6631092475</v>
      </c>
      <c r="M6" s="12">
        <v>-2196.78548386923</v>
      </c>
      <c r="N6" s="12">
        <v>-2196.80047859919</v>
      </c>
      <c r="O6" s="12">
        <v>-2196.81460042379</v>
      </c>
      <c r="P6" s="13"/>
      <c r="Q6" s="12"/>
      <c r="R6" s="12"/>
      <c r="S6" s="14"/>
      <c r="T6" s="14"/>
      <c r="U6" s="14"/>
      <c r="V6" s="15"/>
      <c r="W6" s="15"/>
      <c r="X6" s="15"/>
    </row>
    <row r="7">
      <c r="A7" s="3" t="s">
        <v>7</v>
      </c>
      <c r="B7" s="5" t="s">
        <v>39</v>
      </c>
      <c r="C7" s="11" t="s">
        <v>40</v>
      </c>
      <c r="D7" s="12">
        <v>-233.44350679541</v>
      </c>
      <c r="E7" s="12">
        <v>-233.479309586452</v>
      </c>
      <c r="F7" s="12">
        <v>-233.450473702598</v>
      </c>
      <c r="G7" s="5">
        <v>-230.937275010875</v>
      </c>
      <c r="H7" s="5">
        <v>-230.9113103809</v>
      </c>
      <c r="I7" s="5">
        <v>-230.986490591455</v>
      </c>
      <c r="J7" s="3">
        <v>-231.17986064419</v>
      </c>
      <c r="K7" s="5">
        <v>-231.157798501983</v>
      </c>
      <c r="L7" s="12">
        <v>-231.159011470627</v>
      </c>
      <c r="M7" s="12">
        <v>-232.136530861397</v>
      </c>
      <c r="N7" s="12">
        <v>-232.133118104249</v>
      </c>
      <c r="O7" s="12">
        <v>-232.12045864907</v>
      </c>
      <c r="P7" s="13"/>
      <c r="Q7" s="12"/>
      <c r="R7" s="12"/>
      <c r="S7" s="14"/>
      <c r="T7" s="14"/>
      <c r="U7" s="14"/>
      <c r="V7" s="15"/>
      <c r="W7" s="15"/>
      <c r="X7" s="15"/>
    </row>
    <row r="8">
      <c r="A8" s="3" t="s">
        <v>8</v>
      </c>
      <c r="B8" s="5" t="s">
        <v>39</v>
      </c>
      <c r="C8" s="11" t="s">
        <v>40</v>
      </c>
      <c r="D8" s="12">
        <v>-522.752428219832</v>
      </c>
      <c r="E8" s="12">
        <v>-522.760593901974</v>
      </c>
      <c r="F8" s="12">
        <v>-522.783524727154</v>
      </c>
      <c r="G8" s="5">
        <v>-521.115992715206</v>
      </c>
      <c r="H8" s="5">
        <v>-521.114760244542</v>
      </c>
      <c r="I8" s="5">
        <v>-521.148015343639</v>
      </c>
      <c r="J8" s="3">
        <v>-521.216815916885</v>
      </c>
      <c r="K8" s="12">
        <v>-521.162075456551</v>
      </c>
      <c r="L8" s="12">
        <v>-521.276110257466</v>
      </c>
      <c r="M8" s="12">
        <v>-521.776872123305</v>
      </c>
      <c r="N8" s="12">
        <v>-521.778305427263</v>
      </c>
      <c r="O8" s="12">
        <v>-521.800267915296</v>
      </c>
      <c r="P8" s="13"/>
      <c r="Q8" s="12"/>
      <c r="R8" s="12"/>
      <c r="S8" s="14"/>
      <c r="T8" s="14"/>
      <c r="U8" s="14"/>
      <c r="V8" s="15"/>
      <c r="W8" s="15"/>
      <c r="X8" s="15"/>
    </row>
    <row r="9">
      <c r="A9" s="3" t="s">
        <v>9</v>
      </c>
      <c r="B9" s="5" t="s">
        <v>39</v>
      </c>
      <c r="C9" s="11" t="s">
        <v>40</v>
      </c>
      <c r="D9" s="12">
        <v>-1781.39544603563</v>
      </c>
      <c r="E9" s="12">
        <v>-1781.40804685984</v>
      </c>
      <c r="F9" s="12">
        <v>-1781.36465659778</v>
      </c>
      <c r="G9" s="5">
        <v>-1779.14437829051</v>
      </c>
      <c r="H9" s="5">
        <v>-1779.0964282823</v>
      </c>
      <c r="I9" s="5">
        <v>-1778.98219584085</v>
      </c>
      <c r="J9" s="3">
        <v>-1778.89116455144</v>
      </c>
      <c r="K9" s="12">
        <v>-1778.90257151006</v>
      </c>
      <c r="L9" s="12">
        <v>-1778.9301344215</v>
      </c>
      <c r="M9" s="12">
        <v>-1780.62932165775</v>
      </c>
      <c r="N9" s="12">
        <v>-1780.58745287272</v>
      </c>
      <c r="O9" s="12">
        <v>-1780.6446887216</v>
      </c>
      <c r="P9" s="13"/>
      <c r="Q9" s="12"/>
      <c r="R9" s="12"/>
      <c r="S9" s="14"/>
      <c r="T9" s="14"/>
      <c r="U9" s="14"/>
      <c r="V9" s="15"/>
      <c r="W9" s="15"/>
      <c r="X9" s="15"/>
    </row>
    <row r="10">
      <c r="A10" s="3" t="s">
        <v>10</v>
      </c>
      <c r="B10" s="5" t="s">
        <v>39</v>
      </c>
      <c r="C10" s="11" t="s">
        <v>40</v>
      </c>
      <c r="D10" s="12">
        <v>-763.323773276956</v>
      </c>
      <c r="E10" s="12">
        <v>-763.129100895975</v>
      </c>
      <c r="F10" s="3">
        <v>-763.292162590068</v>
      </c>
      <c r="G10" s="5">
        <v>-759.71876264235</v>
      </c>
      <c r="H10" s="5">
        <v>-759.668049124021</v>
      </c>
      <c r="I10" s="5">
        <v>-759.568066663859</v>
      </c>
      <c r="J10" s="3">
        <v>-760.225964207444</v>
      </c>
      <c r="K10" s="12">
        <v>-760.716028643152</v>
      </c>
      <c r="L10" s="12">
        <v>-760.472993963199</v>
      </c>
      <c r="M10" s="12">
        <v>-762.189524519691</v>
      </c>
      <c r="N10" s="12">
        <v>-762.344951730846</v>
      </c>
      <c r="O10" s="12">
        <v>-762.23231305859</v>
      </c>
      <c r="P10" s="13"/>
      <c r="Q10" s="12"/>
      <c r="R10" s="12"/>
      <c r="S10" s="14"/>
      <c r="T10" s="14"/>
      <c r="U10" s="14"/>
      <c r="V10" s="15"/>
      <c r="W10" s="15"/>
      <c r="X10" s="15"/>
    </row>
    <row r="11">
      <c r="A11" s="3" t="s">
        <v>11</v>
      </c>
      <c r="B11" s="5" t="s">
        <v>39</v>
      </c>
      <c r="C11" s="11" t="s">
        <v>40</v>
      </c>
      <c r="D11" s="12">
        <v>-1395.97898505813</v>
      </c>
      <c r="E11" s="12">
        <v>-1396.01553280024</v>
      </c>
      <c r="F11" s="12">
        <v>-1395.99885725646</v>
      </c>
      <c r="G11" s="5">
        <v>-1394.65711877708</v>
      </c>
      <c r="H11" s="5">
        <v>-1394.6915965902</v>
      </c>
      <c r="I11" s="5">
        <v>-1394.84910738374</v>
      </c>
      <c r="J11" s="3">
        <v>-1394.85633029599</v>
      </c>
      <c r="K11" s="12">
        <v>-1394.82902531218</v>
      </c>
      <c r="L11" s="12">
        <v>-1394.83621607289</v>
      </c>
      <c r="M11" s="12">
        <v>-1395.52921952503</v>
      </c>
      <c r="N11" s="12">
        <v>-1395.58865719953</v>
      </c>
      <c r="O11" s="12">
        <v>-1395.5236204788</v>
      </c>
      <c r="P11" s="13"/>
      <c r="Q11" s="12"/>
      <c r="R11" s="12"/>
      <c r="S11" s="14"/>
      <c r="T11" s="14"/>
      <c r="U11" s="14"/>
      <c r="V11" s="15"/>
      <c r="W11" s="15"/>
      <c r="X11" s="15"/>
    </row>
    <row r="12">
      <c r="A12" s="5" t="s">
        <v>12</v>
      </c>
      <c r="B12" s="5" t="s">
        <v>39</v>
      </c>
      <c r="C12" s="11" t="s">
        <v>40</v>
      </c>
      <c r="D12" s="12">
        <v>-1987.6756637953</v>
      </c>
      <c r="E12" s="12">
        <v>-1987.6447995292</v>
      </c>
      <c r="F12" s="12">
        <v>-1987.59290433379</v>
      </c>
      <c r="G12" s="5">
        <v>-1986.99123323153</v>
      </c>
      <c r="H12" s="5">
        <v>-1987.03738811916</v>
      </c>
      <c r="I12" s="5">
        <v>-1986.91064188578</v>
      </c>
      <c r="J12" s="3">
        <v>-1985.31891067145</v>
      </c>
      <c r="K12" s="12">
        <v>-1985.38068245997</v>
      </c>
      <c r="L12" s="12">
        <v>-1985.3200576598</v>
      </c>
      <c r="M12" s="12">
        <v>-1987.23236182629</v>
      </c>
      <c r="N12" s="12">
        <v>-1987.17235079792</v>
      </c>
      <c r="O12" s="12">
        <v>-1987.19038983791</v>
      </c>
      <c r="P12" s="13"/>
      <c r="Q12" s="12"/>
      <c r="R12" s="12"/>
      <c r="S12" s="14"/>
      <c r="T12" s="14"/>
      <c r="U12" s="14"/>
      <c r="V12" s="15"/>
      <c r="W12" s="15"/>
      <c r="X12" s="15"/>
    </row>
    <row r="13">
      <c r="A13" s="5" t="s">
        <v>13</v>
      </c>
      <c r="B13" s="5" t="s">
        <v>39</v>
      </c>
      <c r="C13" s="11" t="s">
        <v>40</v>
      </c>
      <c r="D13" s="12">
        <v>-2069.68994592014</v>
      </c>
      <c r="E13" s="12">
        <v>-2069.66630330758</v>
      </c>
      <c r="F13" s="12">
        <v>-2069.69090563702</v>
      </c>
      <c r="G13" s="5">
        <v>-2070.08799447238</v>
      </c>
      <c r="H13" s="5">
        <v>-2070.08805971387</v>
      </c>
      <c r="I13" s="5">
        <v>-2070.12728542713</v>
      </c>
      <c r="J13" s="3">
        <v>-2067.94318639219</v>
      </c>
      <c r="K13" s="12">
        <v>-2067.92198773722</v>
      </c>
      <c r="L13" s="12">
        <v>-2068.0486643395</v>
      </c>
      <c r="M13" s="12">
        <v>-2069.20588799748</v>
      </c>
      <c r="N13" s="12">
        <v>-2069.23935754835</v>
      </c>
      <c r="O13" s="12">
        <v>-2069.25419854984</v>
      </c>
      <c r="P13" s="13"/>
      <c r="Q13" s="12"/>
      <c r="R13" s="12"/>
      <c r="S13" s="14"/>
      <c r="T13" s="14"/>
      <c r="U13" s="14"/>
      <c r="V13" s="15"/>
      <c r="W13" s="15"/>
      <c r="X13" s="15"/>
    </row>
    <row r="14">
      <c r="A14" s="5" t="s">
        <v>14</v>
      </c>
      <c r="B14" s="5" t="s">
        <v>39</v>
      </c>
      <c r="C14" s="11" t="s">
        <v>40</v>
      </c>
      <c r="D14" s="12">
        <v>-1578.23403584407</v>
      </c>
      <c r="E14" s="12">
        <v>-1578.26317672017</v>
      </c>
      <c r="F14" s="12">
        <v>-1578.23814901379</v>
      </c>
      <c r="G14" s="5">
        <v>-1578.16370171366</v>
      </c>
      <c r="H14" s="5">
        <v>-1578.19977681131</v>
      </c>
      <c r="I14" s="5">
        <v>-1578.18368256129</v>
      </c>
      <c r="J14" s="3">
        <v>-1577.27346137889</v>
      </c>
      <c r="K14" s="12">
        <v>-1577.26205884246</v>
      </c>
      <c r="L14" s="12">
        <v>-1577.25795216907</v>
      </c>
      <c r="M14" s="12">
        <v>-1577.98494329822</v>
      </c>
      <c r="N14" s="12">
        <v>-1577.97966643041</v>
      </c>
      <c r="O14" s="12">
        <v>-1577.90989754553</v>
      </c>
      <c r="P14" s="13"/>
      <c r="Q14" s="12"/>
      <c r="R14" s="12"/>
      <c r="S14" s="14"/>
      <c r="T14" s="14"/>
      <c r="U14" s="14"/>
      <c r="V14" s="15"/>
      <c r="W14" s="15"/>
      <c r="X14" s="15"/>
    </row>
    <row r="15">
      <c r="A15" s="5" t="s">
        <v>15</v>
      </c>
      <c r="B15" s="5" t="s">
        <v>39</v>
      </c>
      <c r="C15" s="11" t="s">
        <v>40</v>
      </c>
      <c r="D15" s="12">
        <v>-2077.15218751772</v>
      </c>
      <c r="E15" s="12">
        <v>-2077.12433682291</v>
      </c>
      <c r="F15" s="12">
        <v>-2077.18407699273</v>
      </c>
      <c r="G15" s="5">
        <v>-2077.93658420197</v>
      </c>
      <c r="H15" s="5">
        <v>-2077.95099138922</v>
      </c>
      <c r="I15" s="5">
        <v>-2077.96581720765</v>
      </c>
      <c r="J15" s="3">
        <v>-2076.51016396616</v>
      </c>
      <c r="K15" s="12">
        <v>-2076.50124378969</v>
      </c>
      <c r="L15" s="12">
        <v>-2076.50694650802</v>
      </c>
      <c r="M15" s="12">
        <v>-2076.77602409313</v>
      </c>
      <c r="N15" s="12">
        <v>-2076.76803902848</v>
      </c>
      <c r="O15" s="12">
        <v>-2076.76397566239</v>
      </c>
      <c r="P15" s="13"/>
      <c r="Q15" s="12"/>
      <c r="R15" s="12"/>
      <c r="S15" s="14"/>
      <c r="T15" s="14"/>
      <c r="U15" s="14"/>
      <c r="V15" s="15"/>
      <c r="W15" s="15"/>
      <c r="X15" s="15"/>
    </row>
    <row r="16">
      <c r="A16" s="5" t="s">
        <v>16</v>
      </c>
      <c r="B16" s="5" t="s">
        <v>39</v>
      </c>
      <c r="C16" s="11" t="s">
        <v>40</v>
      </c>
      <c r="D16" s="12">
        <v>-1754.7517331801</v>
      </c>
      <c r="E16" s="12">
        <v>-1754.7979634361</v>
      </c>
      <c r="F16" s="12">
        <v>-1754.84955858549</v>
      </c>
      <c r="G16" s="5">
        <v>-1751.45336481848</v>
      </c>
      <c r="H16" s="5">
        <v>-1751.56871581036</v>
      </c>
      <c r="I16" s="5">
        <v>-1751.40317548672</v>
      </c>
      <c r="J16" s="3">
        <v>-1751.70053975187</v>
      </c>
      <c r="K16" s="12">
        <v>-1751.67840156059</v>
      </c>
      <c r="L16" s="12">
        <v>-1751.7471502264</v>
      </c>
      <c r="M16" s="12">
        <v>-1754.01451366022</v>
      </c>
      <c r="N16" s="12">
        <v>-1754.01060592256</v>
      </c>
      <c r="O16" s="12">
        <v>-1753.99840826121</v>
      </c>
      <c r="P16" s="13"/>
      <c r="Q16" s="12"/>
      <c r="R16" s="12"/>
      <c r="S16" s="14"/>
      <c r="T16" s="14"/>
      <c r="U16" s="14"/>
      <c r="V16" s="15"/>
      <c r="W16" s="15"/>
      <c r="X16" s="15"/>
    </row>
    <row r="17">
      <c r="A17" s="5" t="s">
        <v>17</v>
      </c>
      <c r="B17" s="5" t="s">
        <v>39</v>
      </c>
      <c r="C17" s="11" t="s">
        <v>40</v>
      </c>
      <c r="D17" s="12">
        <v>-617.016411138349</v>
      </c>
      <c r="E17" s="12">
        <v>-617.066145089203</v>
      </c>
      <c r="F17" s="12">
        <v>-617.006319871048</v>
      </c>
      <c r="G17" s="5">
        <v>-616.315308569147</v>
      </c>
      <c r="H17" s="5">
        <v>-616.357212201718</v>
      </c>
      <c r="I17" s="5">
        <v>-616.381524985232</v>
      </c>
      <c r="J17" s="3">
        <v>-614.987591468531</v>
      </c>
      <c r="K17" s="12">
        <v>-615.041075070364</v>
      </c>
      <c r="L17" s="12">
        <v>-615.007018576494</v>
      </c>
      <c r="M17" s="12">
        <v>-616.297888750992</v>
      </c>
      <c r="N17" s="12">
        <v>-616.277683012911</v>
      </c>
      <c r="O17" s="12">
        <v>-616.297515827572</v>
      </c>
      <c r="P17" s="13"/>
      <c r="Q17" s="12"/>
      <c r="R17" s="12"/>
      <c r="S17" s="14"/>
      <c r="T17" s="14"/>
      <c r="U17" s="14"/>
      <c r="V17" s="15"/>
      <c r="W17" s="15"/>
      <c r="X17" s="15"/>
    </row>
    <row r="18">
      <c r="A18" s="5" t="s">
        <v>18</v>
      </c>
      <c r="B18" s="5" t="s">
        <v>39</v>
      </c>
      <c r="C18" s="11" t="s">
        <v>40</v>
      </c>
      <c r="D18" s="12">
        <v>-1242.85949094252</v>
      </c>
      <c r="E18" s="12">
        <v>-1242.85034798013</v>
      </c>
      <c r="F18" s="12">
        <v>-1242.87418143831</v>
      </c>
      <c r="G18" s="5">
        <v>-1243.34110028119</v>
      </c>
      <c r="H18" s="5">
        <v>-1243.33960983699</v>
      </c>
      <c r="I18" s="5">
        <v>-1243.37151326999</v>
      </c>
      <c r="J18" s="3">
        <v>-1242.73047262644</v>
      </c>
      <c r="K18" s="12">
        <v>-1242.74180391492</v>
      </c>
      <c r="L18" s="12">
        <v>-1242.72475480299</v>
      </c>
      <c r="M18" s="12">
        <v>-1242.37121579843</v>
      </c>
      <c r="N18" s="12">
        <v>-1242.38043448295</v>
      </c>
      <c r="O18" s="12">
        <v>-1242.3887124482</v>
      </c>
      <c r="P18" s="13"/>
      <c r="Q18" s="12"/>
      <c r="R18" s="12"/>
      <c r="S18" s="14"/>
      <c r="T18" s="14"/>
      <c r="U18" s="14"/>
      <c r="V18" s="15"/>
      <c r="W18" s="15"/>
      <c r="X18" s="15"/>
    </row>
    <row r="19">
      <c r="A19" s="5" t="s">
        <v>19</v>
      </c>
      <c r="B19" s="5" t="s">
        <v>39</v>
      </c>
      <c r="C19" s="11" t="s">
        <v>40</v>
      </c>
      <c r="D19" s="12">
        <v>-1536.72461407806</v>
      </c>
      <c r="E19" s="12">
        <v>-1536.75685155579</v>
      </c>
      <c r="F19" s="12">
        <v>-1536.79577561657</v>
      </c>
      <c r="G19" s="5">
        <v>-1535.84574859377</v>
      </c>
      <c r="H19" s="5">
        <v>-1535.86997942052</v>
      </c>
      <c r="I19" s="5">
        <v>-1535.8993572215</v>
      </c>
      <c r="J19" s="3">
        <v>-1535.04512599388</v>
      </c>
      <c r="K19" s="12">
        <v>-1535.0811992698</v>
      </c>
      <c r="L19" s="12">
        <v>-1535.03261369376</v>
      </c>
      <c r="M19" s="12">
        <v>-1536.11511224554</v>
      </c>
      <c r="N19" s="12">
        <v>-1536.14977779322</v>
      </c>
      <c r="O19" s="12">
        <v>-1536.1375055973</v>
      </c>
      <c r="P19" s="13"/>
      <c r="Q19" s="12"/>
      <c r="R19" s="12"/>
      <c r="S19" s="14"/>
      <c r="T19" s="14"/>
      <c r="U19" s="14"/>
      <c r="V19" s="15"/>
      <c r="W19" s="15"/>
      <c r="X19" s="15"/>
    </row>
    <row r="20">
      <c r="A20" s="5" t="s">
        <v>20</v>
      </c>
      <c r="B20" s="5" t="s">
        <v>39</v>
      </c>
      <c r="C20" s="11" t="s">
        <v>40</v>
      </c>
      <c r="D20" s="12">
        <v>-1815.54915730882</v>
      </c>
      <c r="E20" s="12">
        <v>-1815.50197055617</v>
      </c>
      <c r="F20" s="12">
        <v>-1815.51770544575</v>
      </c>
      <c r="G20" s="5">
        <v>-1814.26260340664</v>
      </c>
      <c r="H20" s="5">
        <v>-1814.27317585574</v>
      </c>
      <c r="I20" s="5">
        <v>-1814.23510751281</v>
      </c>
      <c r="J20" s="3">
        <v>-1813.3976318166</v>
      </c>
      <c r="K20" s="12">
        <v>-1813.32728877937</v>
      </c>
      <c r="L20" s="12">
        <v>-1813.38840090744</v>
      </c>
      <c r="M20" s="12">
        <v>-1814.53000152213</v>
      </c>
      <c r="N20" s="12">
        <v>-1814.49368412139</v>
      </c>
      <c r="O20" s="12">
        <v>-1814.5261674639</v>
      </c>
      <c r="P20" s="16"/>
      <c r="Q20" s="12"/>
      <c r="R20" s="12"/>
      <c r="S20" s="14"/>
      <c r="T20" s="14"/>
      <c r="U20" s="14"/>
      <c r="V20" s="15"/>
      <c r="W20" s="15"/>
      <c r="X20" s="15"/>
    </row>
    <row r="21">
      <c r="A21" s="5" t="s">
        <v>21</v>
      </c>
      <c r="B21" s="5" t="s">
        <v>39</v>
      </c>
      <c r="C21" s="11" t="s">
        <v>40</v>
      </c>
      <c r="D21" s="12">
        <v>-1083.31915802818</v>
      </c>
      <c r="E21" s="12">
        <v>-1083.38536126197</v>
      </c>
      <c r="F21" s="12">
        <v>-1083.35831652812</v>
      </c>
      <c r="G21" s="5">
        <v>-1083.33129282295</v>
      </c>
      <c r="H21" s="5">
        <v>-1083.36154516461</v>
      </c>
      <c r="I21" s="5">
        <v>-1083.4311157833</v>
      </c>
      <c r="J21" s="3">
        <v>-1083.29827997273</v>
      </c>
      <c r="K21" s="12">
        <v>-1083.33280269997</v>
      </c>
      <c r="L21" s="12">
        <v>-1083.28314385793</v>
      </c>
      <c r="M21" s="12">
        <v>-1082.95181808142</v>
      </c>
      <c r="N21" s="12">
        <v>-1082.94941163781</v>
      </c>
      <c r="O21" s="12">
        <v>-1082.90983183758</v>
      </c>
      <c r="P21" s="13"/>
      <c r="Q21" s="12"/>
      <c r="R21" s="12"/>
      <c r="S21" s="14"/>
      <c r="T21" s="14"/>
      <c r="U21" s="14"/>
      <c r="V21" s="15"/>
      <c r="W21" s="15"/>
      <c r="X21" s="15"/>
    </row>
    <row r="22">
      <c r="A22" s="5" t="s">
        <v>22</v>
      </c>
      <c r="B22" s="5" t="s">
        <v>39</v>
      </c>
      <c r="C22" s="11" t="s">
        <v>40</v>
      </c>
      <c r="D22" s="12">
        <v>-1745.34415565787</v>
      </c>
      <c r="E22" s="12">
        <v>-1745.33311223014</v>
      </c>
      <c r="F22" s="12">
        <v>-1745.36755545853</v>
      </c>
      <c r="G22" s="5">
        <v>-1747.00484431473</v>
      </c>
      <c r="H22" s="5">
        <v>-1747.02395927676</v>
      </c>
      <c r="I22" s="5">
        <v>-1747.02801553438</v>
      </c>
      <c r="J22" s="3">
        <v>-1745.93198519457</v>
      </c>
      <c r="K22" s="12">
        <v>-1745.94099734384</v>
      </c>
      <c r="L22" s="12">
        <v>-1745.8753250417</v>
      </c>
      <c r="M22" s="12">
        <v>-1745.12952088476</v>
      </c>
      <c r="N22" s="12">
        <v>-1745.13524393313</v>
      </c>
      <c r="O22" s="12">
        <v>-1745.15942914091</v>
      </c>
      <c r="P22" s="16"/>
      <c r="Q22" s="12"/>
      <c r="R22" s="12"/>
      <c r="S22" s="14"/>
      <c r="T22" s="14"/>
      <c r="U22" s="14"/>
      <c r="V22" s="15"/>
      <c r="W22" s="15"/>
      <c r="X22" s="15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8"/>
      <c r="X23" s="18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9"/>
      <c r="L38" s="19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9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9"/>
      <c r="L40" s="19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9"/>
      <c r="L41" s="19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9"/>
      <c r="L44" s="19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9"/>
      <c r="L46" s="19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9"/>
      <c r="L47" s="19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9"/>
      <c r="K48" s="19"/>
      <c r="L48" s="19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9"/>
      <c r="K49" s="19"/>
      <c r="L49" s="19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9"/>
      <c r="K50" s="19"/>
      <c r="L50" s="19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9"/>
      <c r="K51" s="19"/>
      <c r="L51" s="19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9"/>
      <c r="K52" s="17"/>
      <c r="L52" s="19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9"/>
      <c r="K53" s="19"/>
      <c r="L53" s="19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9"/>
      <c r="K54" s="19"/>
      <c r="L54" s="19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9"/>
      <c r="K55" s="19"/>
      <c r="L55" s="19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9"/>
      <c r="K56" s="17"/>
      <c r="L56" s="19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9"/>
      <c r="K57" s="19"/>
      <c r="L57" s="19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</row>
  </sheetData>
  <mergeCells count="2">
    <mergeCell ref="A1:C1"/>
    <mergeCell ref="D1:X1"/>
  </mergeCells>
  <conditionalFormatting sqref="A1:A1000">
    <cfRule type="notContainsBlanks" dxfId="0" priority="1">
      <formula>LEN(TRIM(A1))&gt;0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9" width="12.63"/>
    <col customWidth="1" min="10" max="10" width="14.63"/>
    <col customWidth="1" min="11" max="11" width="15.5"/>
    <col customWidth="1" min="12" max="12" width="14.75"/>
    <col customWidth="1" min="13" max="18" width="12.63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>
      <c r="A2" s="1" t="s">
        <v>0</v>
      </c>
      <c r="B2" s="1" t="s">
        <v>25</v>
      </c>
      <c r="C2" s="1" t="s">
        <v>26</v>
      </c>
      <c r="D2" s="10" t="s">
        <v>27</v>
      </c>
      <c r="E2" s="10" t="s">
        <v>28</v>
      </c>
      <c r="F2" s="10" t="s">
        <v>29</v>
      </c>
      <c r="G2" s="10" t="s">
        <v>30</v>
      </c>
      <c r="H2" s="10" t="s">
        <v>31</v>
      </c>
      <c r="I2" s="10" t="s">
        <v>32</v>
      </c>
      <c r="J2" s="10" t="s">
        <v>33</v>
      </c>
      <c r="K2" s="10" t="s">
        <v>34</v>
      </c>
      <c r="L2" s="10" t="s">
        <v>35</v>
      </c>
      <c r="M2" s="10" t="s">
        <v>36</v>
      </c>
      <c r="N2" s="10" t="s">
        <v>37</v>
      </c>
      <c r="O2" s="10" t="s">
        <v>38</v>
      </c>
      <c r="P2" s="10"/>
      <c r="Q2" s="10"/>
      <c r="R2" s="10"/>
      <c r="S2" s="10"/>
      <c r="T2" s="10"/>
      <c r="U2" s="10"/>
      <c r="V2" s="10"/>
      <c r="W2" s="10"/>
      <c r="X2" s="10"/>
    </row>
    <row r="3">
      <c r="A3" s="3" t="s">
        <v>3</v>
      </c>
      <c r="B3" s="5" t="s">
        <v>39</v>
      </c>
      <c r="C3" s="11" t="s">
        <v>40</v>
      </c>
      <c r="D3" s="12">
        <v>-1622.65188717698</v>
      </c>
      <c r="E3" s="5"/>
      <c r="F3" s="12"/>
      <c r="G3" s="5">
        <v>-1622.48677385064</v>
      </c>
      <c r="H3" s="5">
        <v>-1622.49809317188</v>
      </c>
      <c r="I3" s="5">
        <v>-1622.48320115194</v>
      </c>
      <c r="J3" s="3">
        <v>-1622.00803422633</v>
      </c>
      <c r="K3" s="12">
        <v>-1622.0024391816</v>
      </c>
      <c r="L3" s="12">
        <v>-1621.97761877936</v>
      </c>
      <c r="M3" s="12">
        <v>-1622.71765912037</v>
      </c>
      <c r="N3" s="12">
        <v>-1622.72915488687</v>
      </c>
      <c r="O3" s="12">
        <v>-1622.7111283667</v>
      </c>
      <c r="P3" s="12"/>
      <c r="R3" s="12"/>
      <c r="S3" s="14"/>
      <c r="T3" s="14"/>
      <c r="U3" s="14"/>
      <c r="V3" s="15"/>
      <c r="W3" s="15"/>
      <c r="X3" s="15"/>
    </row>
    <row r="4">
      <c r="A4" s="3" t="s">
        <v>4</v>
      </c>
      <c r="B4" s="5" t="s">
        <v>39</v>
      </c>
      <c r="C4" s="11" t="s">
        <v>40</v>
      </c>
      <c r="D4" s="12">
        <v>-2524.27397572307</v>
      </c>
      <c r="E4" s="5"/>
      <c r="F4" s="12"/>
      <c r="G4" s="5">
        <v>-2523.36951252055</v>
      </c>
      <c r="H4" s="5">
        <v>-2523.41496085638</v>
      </c>
      <c r="I4" s="5">
        <v>-2523.34767840191</v>
      </c>
      <c r="J4" s="3">
        <v>-2522.61412987012</v>
      </c>
      <c r="K4" s="12">
        <v>-2522.56508424692</v>
      </c>
      <c r="L4" s="12">
        <v>-2522.53012655774</v>
      </c>
      <c r="M4" s="12">
        <v>-2524.29731009892</v>
      </c>
      <c r="N4" s="12">
        <v>-2524.28791565341</v>
      </c>
      <c r="O4" s="12">
        <v>-2524.26755566796</v>
      </c>
      <c r="P4" s="12"/>
      <c r="R4" s="12"/>
      <c r="S4" s="14"/>
      <c r="T4" s="14"/>
      <c r="U4" s="14"/>
      <c r="V4" s="15"/>
      <c r="W4" s="15"/>
      <c r="X4" s="15"/>
    </row>
    <row r="5">
      <c r="A5" s="3" t="s">
        <v>5</v>
      </c>
      <c r="B5" s="5" t="s">
        <v>39</v>
      </c>
      <c r="C5" s="11" t="s">
        <v>40</v>
      </c>
      <c r="D5" s="12">
        <v>-1390.17393871509</v>
      </c>
      <c r="E5" s="5"/>
      <c r="F5" s="12"/>
      <c r="G5" s="5">
        <v>-1390.79415703656</v>
      </c>
      <c r="H5" s="5">
        <v>-1390.78120262622</v>
      </c>
      <c r="I5" s="5">
        <v>-1390.79106252134</v>
      </c>
      <c r="J5" s="3">
        <v>-1389.82596774653</v>
      </c>
      <c r="K5" s="12">
        <v>-1389.82503777469</v>
      </c>
      <c r="L5" s="12">
        <v>-1389.83035794634</v>
      </c>
      <c r="M5" s="12">
        <v>-1390.14579380708</v>
      </c>
      <c r="N5" s="12">
        <v>-1390.17440984607</v>
      </c>
      <c r="O5" s="12">
        <v>-1390.16574720543</v>
      </c>
      <c r="P5" s="12"/>
      <c r="R5" s="12"/>
      <c r="S5" s="14"/>
      <c r="T5" s="14"/>
      <c r="U5" s="14"/>
      <c r="V5" s="15"/>
      <c r="W5" s="15"/>
      <c r="X5" s="15"/>
    </row>
    <row r="6">
      <c r="A6" s="3" t="s">
        <v>6</v>
      </c>
      <c r="B6" s="5" t="s">
        <v>39</v>
      </c>
      <c r="C6" s="11" t="s">
        <v>40</v>
      </c>
      <c r="D6" s="12">
        <v>-2196.95068963147</v>
      </c>
      <c r="E6" s="5"/>
      <c r="F6" s="12"/>
      <c r="G6" s="5">
        <v>-2198.0664687892</v>
      </c>
      <c r="H6" s="5">
        <v>-2198.08944171323</v>
      </c>
      <c r="I6" s="5">
        <v>-2198.06972694029</v>
      </c>
      <c r="J6" s="3">
        <v>-2196.53939335398</v>
      </c>
      <c r="K6" s="12">
        <v>-2196.56051488629</v>
      </c>
      <c r="L6" s="12">
        <v>-2196.51538334146</v>
      </c>
      <c r="M6" s="12">
        <v>-2196.96994624987</v>
      </c>
      <c r="N6" s="12">
        <v>-2196.98433727247</v>
      </c>
      <c r="O6" s="12">
        <v>-2196.95990727143</v>
      </c>
      <c r="P6" s="12"/>
      <c r="R6" s="12"/>
      <c r="S6" s="14"/>
      <c r="T6" s="14"/>
      <c r="U6" s="14"/>
      <c r="V6" s="15"/>
      <c r="W6" s="15"/>
      <c r="X6" s="15"/>
    </row>
    <row r="7">
      <c r="A7" s="3" t="s">
        <v>7</v>
      </c>
      <c r="B7" s="5" t="s">
        <v>39</v>
      </c>
      <c r="C7" s="11" t="s">
        <v>40</v>
      </c>
      <c r="D7" s="12">
        <v>-231.624887820287</v>
      </c>
      <c r="E7" s="5"/>
      <c r="F7" s="12"/>
      <c r="G7" s="5">
        <v>-231.875729833735</v>
      </c>
      <c r="H7" s="5">
        <v>-231.886845575163</v>
      </c>
      <c r="I7" s="5">
        <v>-231.872920554942</v>
      </c>
      <c r="J7" s="3">
        <v>-232.41706742146</v>
      </c>
      <c r="K7" s="5">
        <v>-232.393302124733</v>
      </c>
      <c r="L7" s="12">
        <v>-232.415971802543</v>
      </c>
      <c r="M7" s="12">
        <v>-231.628622158873</v>
      </c>
      <c r="N7" s="12">
        <v>-231.606993847342</v>
      </c>
      <c r="O7" s="12">
        <v>-231.624333251473</v>
      </c>
      <c r="P7" s="12"/>
      <c r="R7" s="12"/>
      <c r="S7" s="14"/>
      <c r="T7" s="14"/>
      <c r="U7" s="14"/>
      <c r="V7" s="15"/>
      <c r="W7" s="15"/>
      <c r="X7" s="15"/>
    </row>
    <row r="8">
      <c r="A8" s="3" t="s">
        <v>8</v>
      </c>
      <c r="B8" s="5" t="s">
        <v>39</v>
      </c>
      <c r="C8" s="11" t="s">
        <v>40</v>
      </c>
      <c r="D8" s="12">
        <v>-520.359015521611</v>
      </c>
      <c r="E8" s="5"/>
      <c r="F8" s="12"/>
      <c r="G8" s="5">
        <v>-520.277197461749</v>
      </c>
      <c r="H8" s="5">
        <v>-520.266340999404</v>
      </c>
      <c r="I8" s="5">
        <v>-520.274419208154</v>
      </c>
      <c r="J8" s="3">
        <v>-520.47943484055</v>
      </c>
      <c r="K8" s="12">
        <v>-520.507565857587</v>
      </c>
      <c r="L8" s="12">
        <v>-520.496779871846</v>
      </c>
      <c r="M8" s="12">
        <v>-520.385337454572</v>
      </c>
      <c r="N8" s="12">
        <v>-520.368001645671</v>
      </c>
      <c r="O8" s="12">
        <v>-520.351635293557</v>
      </c>
      <c r="P8" s="12"/>
      <c r="R8" s="12"/>
      <c r="S8" s="14"/>
      <c r="T8" s="14"/>
      <c r="U8" s="14"/>
      <c r="V8" s="15"/>
      <c r="W8" s="15"/>
      <c r="X8" s="15"/>
    </row>
    <row r="9">
      <c r="A9" s="3" t="s">
        <v>9</v>
      </c>
      <c r="B9" s="5" t="s">
        <v>39</v>
      </c>
      <c r="C9" s="11" t="s">
        <v>40</v>
      </c>
      <c r="D9" s="12">
        <v>-1779.08066565745</v>
      </c>
      <c r="E9" s="5"/>
      <c r="F9" s="12"/>
      <c r="G9" s="5">
        <v>-1779.01721195472</v>
      </c>
      <c r="H9" s="5">
        <v>-1779.12001019964</v>
      </c>
      <c r="I9" s="5">
        <v>-1779.05465788459</v>
      </c>
      <c r="J9" s="3">
        <v>-1778.89186564566</v>
      </c>
      <c r="K9" s="12">
        <v>-1778.81237183304</v>
      </c>
      <c r="L9" s="12">
        <v>-1779.09443447582</v>
      </c>
      <c r="M9" s="12">
        <v>-1778.93695972761</v>
      </c>
      <c r="N9" s="12">
        <v>-1778.80338202402</v>
      </c>
      <c r="O9" s="12">
        <v>-1778.84866234465</v>
      </c>
      <c r="P9" s="12"/>
      <c r="R9" s="12"/>
      <c r="S9" s="14"/>
      <c r="T9" s="14"/>
      <c r="U9" s="14"/>
      <c r="V9" s="15"/>
      <c r="W9" s="15"/>
      <c r="X9" s="15"/>
    </row>
    <row r="10">
      <c r="A10" s="3" t="s">
        <v>10</v>
      </c>
      <c r="B10" s="5" t="s">
        <v>39</v>
      </c>
      <c r="C10" s="11" t="s">
        <v>40</v>
      </c>
      <c r="D10" s="12">
        <v>-760.653943796675</v>
      </c>
      <c r="E10" s="5"/>
      <c r="F10" s="3"/>
      <c r="G10" s="5">
        <v>-759.463168053151</v>
      </c>
      <c r="H10" s="5">
        <v>-759.453811338448</v>
      </c>
      <c r="I10" s="5">
        <v>-759.469737519043</v>
      </c>
      <c r="J10" s="3">
        <v>-759.883853536244</v>
      </c>
      <c r="K10" s="12">
        <v>-759.921473613611</v>
      </c>
      <c r="L10" s="12">
        <v>-759.94760424897</v>
      </c>
      <c r="M10" s="12">
        <v>-760.708375262962</v>
      </c>
      <c r="N10" s="12">
        <v>-760.727886761377</v>
      </c>
      <c r="O10" s="12">
        <v>-760.711805344824</v>
      </c>
      <c r="P10" s="12"/>
      <c r="R10" s="12"/>
      <c r="S10" s="14"/>
      <c r="T10" s="14"/>
      <c r="U10" s="14"/>
      <c r="V10" s="15"/>
      <c r="W10" s="15"/>
      <c r="X10" s="15"/>
    </row>
    <row r="11">
      <c r="A11" s="3" t="s">
        <v>11</v>
      </c>
      <c r="B11" s="5" t="s">
        <v>39</v>
      </c>
      <c r="C11" s="11" t="s">
        <v>40</v>
      </c>
      <c r="D11" s="12">
        <v>-1394.03547845221</v>
      </c>
      <c r="E11" s="5"/>
      <c r="F11" s="12"/>
      <c r="G11" s="5">
        <v>-1391.70922093987</v>
      </c>
      <c r="H11" s="5">
        <v>-1391.68864191452</v>
      </c>
      <c r="I11" s="5">
        <v>-1391.66283933359</v>
      </c>
      <c r="J11" s="3">
        <v>-1392.25186377505</v>
      </c>
      <c r="K11" s="12">
        <v>-1392.20039375597</v>
      </c>
      <c r="L11" s="12">
        <v>-1392.23123726487</v>
      </c>
      <c r="M11" s="12">
        <v>-1394.0089704342</v>
      </c>
      <c r="N11" s="12">
        <v>-1394.00358660671</v>
      </c>
      <c r="O11" s="12">
        <v>-1394.03839730208</v>
      </c>
      <c r="P11" s="12"/>
      <c r="R11" s="12"/>
      <c r="S11" s="14"/>
      <c r="T11" s="14"/>
      <c r="U11" s="14"/>
      <c r="V11" s="15"/>
      <c r="W11" s="15"/>
      <c r="X11" s="15"/>
    </row>
    <row r="12">
      <c r="A12" s="5" t="s">
        <v>12</v>
      </c>
      <c r="B12" s="5" t="s">
        <v>39</v>
      </c>
      <c r="C12" s="11" t="s">
        <v>40</v>
      </c>
      <c r="D12" s="12">
        <v>-1986.3100468593</v>
      </c>
      <c r="E12" s="5"/>
      <c r="F12" s="12"/>
      <c r="G12" s="5">
        <v>-1984.6120059007</v>
      </c>
      <c r="H12" s="5">
        <v>-1984.69221013774</v>
      </c>
      <c r="I12" s="5">
        <v>-1984.75708790348</v>
      </c>
      <c r="J12" s="5">
        <v>-1983.9185714337</v>
      </c>
      <c r="K12" s="12">
        <v>-1983.95351795371</v>
      </c>
      <c r="L12" s="12">
        <v>-1983.87096390101</v>
      </c>
      <c r="M12" s="12">
        <v>-1986.35378851197</v>
      </c>
      <c r="N12" s="12">
        <v>-1986.27593044493</v>
      </c>
      <c r="O12" s="12">
        <v>-1986.27612957804</v>
      </c>
      <c r="P12" s="12"/>
      <c r="R12" s="12"/>
      <c r="S12" s="14"/>
      <c r="T12" s="14"/>
      <c r="U12" s="14"/>
      <c r="V12" s="15"/>
      <c r="W12" s="15"/>
      <c r="X12" s="15"/>
    </row>
    <row r="13">
      <c r="A13" s="5" t="s">
        <v>13</v>
      </c>
      <c r="B13" s="5" t="s">
        <v>39</v>
      </c>
      <c r="C13" s="11" t="s">
        <v>40</v>
      </c>
      <c r="D13" s="12">
        <v>-2068.97436085847</v>
      </c>
      <c r="E13" s="5"/>
      <c r="F13" s="12"/>
      <c r="G13" s="5">
        <v>-2068.42422386882</v>
      </c>
      <c r="H13" s="5">
        <v>-2068.41345366547</v>
      </c>
      <c r="I13" s="5">
        <v>-2068.40872836871</v>
      </c>
      <c r="J13" s="5">
        <v>-2066.91742086145</v>
      </c>
      <c r="K13" s="12">
        <v>-2066.93139029913</v>
      </c>
      <c r="L13" s="12">
        <v>-2066.94959907461</v>
      </c>
      <c r="M13" s="12">
        <v>-2068.95125858727</v>
      </c>
      <c r="N13" s="12">
        <v>-2068.96564810918</v>
      </c>
      <c r="O13" s="12">
        <v>-2068.96010380468</v>
      </c>
      <c r="P13" s="12"/>
      <c r="R13" s="12"/>
      <c r="S13" s="14"/>
      <c r="T13" s="14"/>
      <c r="U13" s="14"/>
      <c r="V13" s="15"/>
      <c r="W13" s="15"/>
      <c r="X13" s="15"/>
    </row>
    <row r="14">
      <c r="A14" s="5" t="s">
        <v>14</v>
      </c>
      <c r="B14" s="5" t="s">
        <v>39</v>
      </c>
      <c r="C14" s="11" t="s">
        <v>40</v>
      </c>
      <c r="D14" s="12">
        <v>-1576.95209518253</v>
      </c>
      <c r="E14" s="5"/>
      <c r="F14" s="12"/>
      <c r="G14" s="5">
        <v>-1576.22795310441</v>
      </c>
      <c r="H14" s="5">
        <v>-1576.2871348478</v>
      </c>
      <c r="I14" s="5">
        <v>-1576.31332597754</v>
      </c>
      <c r="J14" s="5">
        <v>-1576.03147514028</v>
      </c>
      <c r="K14" s="12">
        <v>-1576.027968884</v>
      </c>
      <c r="L14" s="12">
        <v>-1575.96206956615</v>
      </c>
      <c r="M14" s="12">
        <v>-1576.91049514179</v>
      </c>
      <c r="N14" s="12">
        <v>-1576.92478986911</v>
      </c>
      <c r="O14" s="12">
        <v>-1576.96908098058</v>
      </c>
      <c r="P14" s="12"/>
      <c r="R14" s="12"/>
      <c r="S14" s="14"/>
      <c r="T14" s="14"/>
      <c r="U14" s="14"/>
      <c r="V14" s="15"/>
      <c r="W14" s="15"/>
      <c r="X14" s="15"/>
    </row>
    <row r="15">
      <c r="A15" s="5" t="s">
        <v>15</v>
      </c>
      <c r="B15" s="5" t="s">
        <v>39</v>
      </c>
      <c r="C15" s="11" t="s">
        <v>40</v>
      </c>
      <c r="D15" s="12">
        <v>-2076.25391704994</v>
      </c>
      <c r="E15" s="5"/>
      <c r="F15" s="12"/>
      <c r="G15" s="5">
        <v>-2076.67082439354</v>
      </c>
      <c r="H15" s="5">
        <v>-2076.68382989012</v>
      </c>
      <c r="I15" s="5">
        <v>-2076.66456743665</v>
      </c>
      <c r="J15" s="5">
        <v>-2075.50833497935</v>
      </c>
      <c r="K15" s="12">
        <v>-2075.55180171225</v>
      </c>
      <c r="L15" s="12">
        <v>-2075.47587541054</v>
      </c>
      <c r="M15" s="12">
        <v>-2076.21923897163</v>
      </c>
      <c r="N15" s="12">
        <v>-2076.2195768713</v>
      </c>
      <c r="O15" s="12">
        <v>-2076.2064869781</v>
      </c>
      <c r="P15" s="12"/>
      <c r="R15" s="12"/>
      <c r="S15" s="14"/>
      <c r="T15" s="14"/>
      <c r="U15" s="14"/>
      <c r="V15" s="15"/>
      <c r="W15" s="15"/>
      <c r="X15" s="15"/>
    </row>
    <row r="16">
      <c r="A16" s="5" t="s">
        <v>16</v>
      </c>
      <c r="B16" s="5" t="s">
        <v>39</v>
      </c>
      <c r="C16" s="11" t="s">
        <v>40</v>
      </c>
      <c r="D16" s="5">
        <v>-1752.65</v>
      </c>
      <c r="E16" s="5"/>
      <c r="F16" s="12"/>
      <c r="G16" s="5">
        <v>-1751.69164073295</v>
      </c>
      <c r="H16" s="5">
        <v>-1751.75213930869</v>
      </c>
      <c r="I16" s="5">
        <v>-1751.67877872652</v>
      </c>
      <c r="J16" s="5">
        <v>-1751.99751691708</v>
      </c>
      <c r="K16" s="12">
        <v>-1751.89598419785</v>
      </c>
      <c r="L16" s="12">
        <v>-1752.03212829091</v>
      </c>
      <c r="M16" s="12">
        <v>-1752.56866745807</v>
      </c>
      <c r="N16" s="12">
        <v>-1752.60153007889</v>
      </c>
      <c r="O16" s="12">
        <v>-1752.5194434202</v>
      </c>
      <c r="P16" s="12"/>
      <c r="R16" s="12"/>
      <c r="S16" s="14"/>
      <c r="T16" s="14"/>
      <c r="U16" s="14"/>
      <c r="V16" s="15"/>
      <c r="W16" s="15"/>
      <c r="X16" s="15"/>
    </row>
    <row r="17">
      <c r="A17" s="5" t="s">
        <v>17</v>
      </c>
      <c r="B17" s="5" t="s">
        <v>39</v>
      </c>
      <c r="C17" s="11" t="s">
        <v>40</v>
      </c>
      <c r="D17" s="20">
        <v>-613.700483850716</v>
      </c>
      <c r="E17" s="5"/>
      <c r="F17" s="12"/>
      <c r="G17" s="5">
        <v>-612.664967396552</v>
      </c>
      <c r="H17" s="5">
        <v>-612.638393684854</v>
      </c>
      <c r="I17" s="5">
        <v>-612.682156739494</v>
      </c>
      <c r="J17" s="5">
        <v>-611.913865095206</v>
      </c>
      <c r="K17" s="12">
        <v>-611.909734046827</v>
      </c>
      <c r="L17" s="12">
        <v>-611.918557787867</v>
      </c>
      <c r="M17" s="12">
        <v>-613.716976622061</v>
      </c>
      <c r="N17" s="12">
        <v>-613.692705679964</v>
      </c>
      <c r="O17" s="12">
        <v>-613.715740792919</v>
      </c>
      <c r="P17" s="12"/>
      <c r="R17" s="12"/>
      <c r="S17" s="14"/>
      <c r="T17" s="14"/>
      <c r="U17" s="14"/>
      <c r="V17" s="15"/>
      <c r="W17" s="15"/>
      <c r="X17" s="15"/>
    </row>
    <row r="18">
      <c r="A18" s="5" t="s">
        <v>18</v>
      </c>
      <c r="B18" s="5" t="s">
        <v>39</v>
      </c>
      <c r="C18" s="11" t="s">
        <v>40</v>
      </c>
      <c r="D18" s="12">
        <v>-1242.02396428411</v>
      </c>
      <c r="E18" s="5"/>
      <c r="F18" s="12"/>
      <c r="G18" s="5">
        <v>-1242.12648562231</v>
      </c>
      <c r="H18" s="5">
        <v>-1242.11200913996</v>
      </c>
      <c r="I18" s="3">
        <v>-1242.10468089904</v>
      </c>
      <c r="J18" s="5">
        <v>-1241.71411340797</v>
      </c>
      <c r="K18" s="12">
        <v>-1241.73432131082</v>
      </c>
      <c r="L18" s="12">
        <v>-1241.68086123218</v>
      </c>
      <c r="M18" s="12">
        <v>-1242.03861697986</v>
      </c>
      <c r="N18" s="12">
        <v>-1242.01969854863</v>
      </c>
      <c r="O18" s="12">
        <v>-1242.01174169964</v>
      </c>
      <c r="P18" s="12"/>
      <c r="R18" s="12"/>
      <c r="S18" s="14"/>
      <c r="T18" s="14"/>
      <c r="U18" s="14"/>
      <c r="V18" s="15"/>
      <c r="W18" s="15"/>
      <c r="X18" s="15"/>
    </row>
    <row r="19">
      <c r="A19" s="5" t="s">
        <v>19</v>
      </c>
      <c r="B19" s="5" t="s">
        <v>39</v>
      </c>
      <c r="C19" s="11" t="s">
        <v>40</v>
      </c>
      <c r="D19" s="12">
        <v>-1535.55574436138</v>
      </c>
      <c r="E19" s="5"/>
      <c r="F19" s="12"/>
      <c r="G19" s="5">
        <v>-1536.03973625345</v>
      </c>
      <c r="H19" s="5">
        <v>-1536.05991978195</v>
      </c>
      <c r="I19" s="5">
        <v>-1536.07251603743</v>
      </c>
      <c r="J19" s="5">
        <v>-1535.49378851437</v>
      </c>
      <c r="K19" s="12">
        <v>-1535.4852126976</v>
      </c>
      <c r="L19" s="12">
        <v>-1535.51443573165</v>
      </c>
      <c r="M19" s="12">
        <v>-1535.54534688881</v>
      </c>
      <c r="N19" s="12">
        <v>-1535.56461893653</v>
      </c>
      <c r="O19" s="12">
        <v>-1535.58132972045</v>
      </c>
      <c r="P19" s="12"/>
      <c r="R19" s="12"/>
      <c r="S19" s="14"/>
      <c r="T19" s="14"/>
      <c r="U19" s="14"/>
      <c r="V19" s="15"/>
      <c r="W19" s="15"/>
      <c r="X19" s="15"/>
    </row>
    <row r="20">
      <c r="A20" s="5" t="s">
        <v>20</v>
      </c>
      <c r="B20" s="5" t="s">
        <v>39</v>
      </c>
      <c r="C20" s="11" t="s">
        <v>40</v>
      </c>
      <c r="D20" s="12">
        <v>-1813.4161143264</v>
      </c>
      <c r="E20" s="5"/>
      <c r="F20" s="12"/>
      <c r="G20" s="5">
        <v>-1813.07937882149</v>
      </c>
      <c r="H20" s="5">
        <v>-1813.0540854708</v>
      </c>
      <c r="I20" s="5">
        <v>-1813.02992983622</v>
      </c>
      <c r="J20" s="5">
        <v>-1812.99668453288</v>
      </c>
      <c r="K20" s="12">
        <v>-1812.9992263661</v>
      </c>
      <c r="L20" s="12">
        <v>-1813.0891028103</v>
      </c>
      <c r="M20" s="12">
        <v>-1813.45696139082</v>
      </c>
      <c r="N20" s="12">
        <v>-1813.48151007096</v>
      </c>
      <c r="O20" s="12">
        <v>-1813.47747566393</v>
      </c>
      <c r="P20" s="12"/>
      <c r="R20" s="12"/>
      <c r="S20" s="14"/>
      <c r="T20" s="14"/>
      <c r="U20" s="14"/>
      <c r="V20" s="15"/>
      <c r="W20" s="15"/>
      <c r="X20" s="15"/>
    </row>
    <row r="21">
      <c r="A21" s="5" t="s">
        <v>21</v>
      </c>
      <c r="B21" s="5" t="s">
        <v>39</v>
      </c>
      <c r="C21" s="11" t="s">
        <v>40</v>
      </c>
      <c r="D21" s="12">
        <v>-1082.45151117713</v>
      </c>
      <c r="E21" s="5"/>
      <c r="F21" s="12"/>
      <c r="G21" s="5">
        <v>-1083.20428865991</v>
      </c>
      <c r="H21" s="5">
        <v>-1083.17023503597</v>
      </c>
      <c r="I21" s="5">
        <v>-1083.18781968775</v>
      </c>
      <c r="J21" s="5">
        <v>-1083.07247029748</v>
      </c>
      <c r="K21" s="12">
        <v>-1083.08895533929</v>
      </c>
      <c r="L21" s="12">
        <v>-1083.10635852668</v>
      </c>
      <c r="M21" s="12">
        <v>-1082.49536394327</v>
      </c>
      <c r="N21" s="12">
        <v>-1082.44645751762</v>
      </c>
      <c r="O21" s="12">
        <v>-1082.47550959009</v>
      </c>
      <c r="P21" s="12"/>
      <c r="R21" s="12"/>
      <c r="S21" s="14"/>
      <c r="T21" s="14"/>
      <c r="U21" s="14"/>
      <c r="V21" s="15"/>
      <c r="W21" s="15"/>
      <c r="X21" s="15"/>
    </row>
    <row r="22">
      <c r="A22" s="5" t="s">
        <v>22</v>
      </c>
      <c r="B22" s="5" t="s">
        <v>39</v>
      </c>
      <c r="C22" s="11" t="s">
        <v>40</v>
      </c>
      <c r="D22" s="12">
        <v>-1744.16162723225</v>
      </c>
      <c r="E22" s="5"/>
      <c r="F22" s="12"/>
      <c r="G22" s="5">
        <v>-1745.6716936918</v>
      </c>
      <c r="H22" s="5">
        <v>-1745.66696928547</v>
      </c>
      <c r="I22" s="3">
        <v>-1745.70379125578</v>
      </c>
      <c r="J22" s="5">
        <v>-1744.61450578718</v>
      </c>
      <c r="K22" s="12">
        <v>-1744.57196744741</v>
      </c>
      <c r="L22" s="12">
        <v>-1744.59396495906</v>
      </c>
      <c r="M22" s="12">
        <v>-1744.11655471381</v>
      </c>
      <c r="N22" s="12">
        <v>-1744.18484773048</v>
      </c>
      <c r="O22" s="12">
        <v>-1744.16127323816</v>
      </c>
      <c r="P22" s="12"/>
      <c r="R22" s="12"/>
      <c r="S22" s="14"/>
      <c r="T22" s="14"/>
      <c r="U22" s="14"/>
      <c r="V22" s="15"/>
      <c r="W22" s="15"/>
      <c r="X22" s="15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8"/>
      <c r="X23" s="18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9"/>
      <c r="K38" s="19"/>
      <c r="L38" s="19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9"/>
      <c r="K39" s="19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9"/>
      <c r="K40" s="19"/>
      <c r="L40" s="19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9"/>
      <c r="K41" s="19"/>
      <c r="L41" s="19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9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9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9"/>
      <c r="K44" s="19"/>
      <c r="L44" s="19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9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9"/>
      <c r="K46" s="19"/>
      <c r="L46" s="19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9"/>
      <c r="K47" s="19"/>
      <c r="L47" s="19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9"/>
      <c r="K48" s="19"/>
      <c r="L48" s="19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9"/>
      <c r="K49" s="19"/>
      <c r="L49" s="19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9"/>
      <c r="K50" s="19"/>
      <c r="L50" s="19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9"/>
      <c r="K51" s="19"/>
      <c r="L51" s="19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9"/>
      <c r="K52" s="17"/>
      <c r="L52" s="19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9"/>
      <c r="K53" s="19"/>
      <c r="L53" s="19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9"/>
      <c r="K54" s="19"/>
      <c r="L54" s="19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9"/>
      <c r="K55" s="19"/>
      <c r="L55" s="19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9"/>
      <c r="K56" s="17"/>
      <c r="L56" s="19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9"/>
      <c r="K57" s="19"/>
      <c r="L57" s="19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</row>
  </sheetData>
  <mergeCells count="2">
    <mergeCell ref="A1:C1"/>
    <mergeCell ref="D1:X1"/>
  </mergeCells>
  <conditionalFormatting sqref="A1:A1000">
    <cfRule type="notContainsBlanks" dxfId="0" priority="1">
      <formula>LEN(TRIM(A1))&gt;0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" width="12.63"/>
    <col customWidth="1" min="3" max="3" width="18.13"/>
    <col customWidth="1" min="4" max="18" width="12.63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8"/>
      <c r="S1" s="17"/>
      <c r="T1" s="17"/>
      <c r="U1" s="17"/>
      <c r="V1" s="17"/>
      <c r="W1" s="17"/>
      <c r="X1" s="17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49</v>
      </c>
      <c r="M2" s="10"/>
      <c r="N2" s="10"/>
      <c r="O2" s="10"/>
      <c r="P2" s="10"/>
      <c r="Q2" s="10"/>
      <c r="R2" s="10"/>
      <c r="S2" s="17"/>
      <c r="T2" s="17"/>
      <c r="U2" s="17"/>
      <c r="V2" s="17"/>
      <c r="W2" s="17"/>
      <c r="X2" s="17"/>
    </row>
    <row r="3">
      <c r="A3" s="3" t="s">
        <v>3</v>
      </c>
      <c r="B3" s="5" t="s">
        <v>39</v>
      </c>
      <c r="C3" s="11" t="s">
        <v>40</v>
      </c>
      <c r="D3" s="14">
        <v>2.72439520651267</v>
      </c>
      <c r="E3" s="5">
        <v>2.77118576428199</v>
      </c>
      <c r="F3" s="5">
        <v>2.66880729764291</v>
      </c>
      <c r="G3" s="5">
        <v>-1622.70345449975</v>
      </c>
      <c r="H3" s="5">
        <v>-1622.72211037467</v>
      </c>
      <c r="I3" s="5">
        <v>-1622.73116871075</v>
      </c>
      <c r="J3" s="3">
        <v>-1622.71654870976</v>
      </c>
      <c r="K3" s="12">
        <v>-1622.7298761284</v>
      </c>
      <c r="L3" s="12">
        <v>-1622.66785775169</v>
      </c>
      <c r="M3" s="14"/>
      <c r="N3" s="14"/>
      <c r="O3" s="14"/>
      <c r="P3" s="12"/>
      <c r="Q3" s="12"/>
      <c r="R3" s="12"/>
      <c r="S3" s="19"/>
      <c r="T3" s="17"/>
      <c r="U3" s="17"/>
      <c r="V3" s="17"/>
      <c r="W3" s="17"/>
      <c r="X3" s="17"/>
    </row>
    <row r="4">
      <c r="A4" s="3" t="s">
        <v>4</v>
      </c>
      <c r="B4" s="5" t="s">
        <v>39</v>
      </c>
      <c r="C4" s="11" t="s">
        <v>40</v>
      </c>
      <c r="D4" s="14">
        <v>3.09456238175363</v>
      </c>
      <c r="E4" s="5">
        <v>3.08949062002017</v>
      </c>
      <c r="F4" s="5">
        <v>3.15294735817552</v>
      </c>
      <c r="G4" s="5">
        <v>-2524.29291731586</v>
      </c>
      <c r="H4" s="5">
        <v>-2524.27409964374</v>
      </c>
      <c r="I4" s="5">
        <v>-2524.30053740533</v>
      </c>
      <c r="J4" s="3">
        <v>-2524.28570961081</v>
      </c>
      <c r="K4" s="12">
        <v>-2524.36683806505</v>
      </c>
      <c r="L4" s="12">
        <v>-2524.38199911568</v>
      </c>
      <c r="M4" s="14"/>
      <c r="N4" s="14"/>
      <c r="O4" s="14"/>
      <c r="P4" s="12"/>
      <c r="Q4" s="12"/>
      <c r="R4" s="12"/>
      <c r="S4" s="19"/>
      <c r="T4" s="17"/>
      <c r="U4" s="17"/>
      <c r="V4" s="17"/>
      <c r="W4" s="17"/>
      <c r="X4" s="17"/>
    </row>
    <row r="5">
      <c r="A5" s="3" t="s">
        <v>5</v>
      </c>
      <c r="B5" s="5" t="s">
        <v>39</v>
      </c>
      <c r="C5" s="11" t="s">
        <v>40</v>
      </c>
      <c r="D5" s="14">
        <v>-0.915509826230186</v>
      </c>
      <c r="E5" s="5">
        <v>-0.955145358871091</v>
      </c>
      <c r="F5" s="5">
        <v>-1.04177960757689</v>
      </c>
      <c r="G5" s="5">
        <v>-1390.1259241371</v>
      </c>
      <c r="H5" s="5">
        <v>-1390.12321630717</v>
      </c>
      <c r="I5" s="5">
        <v>-1390.11903435439</v>
      </c>
      <c r="J5" s="12">
        <v>-1390.3252246045</v>
      </c>
      <c r="K5" s="12">
        <v>-1390.3008131329</v>
      </c>
      <c r="L5" s="12">
        <v>-1390.32133224713</v>
      </c>
      <c r="M5" s="14"/>
      <c r="N5" s="14"/>
      <c r="O5" s="14"/>
      <c r="P5" s="14"/>
      <c r="Q5" s="14"/>
      <c r="R5" s="12"/>
      <c r="S5" s="19"/>
      <c r="T5" s="17"/>
      <c r="U5" s="17"/>
      <c r="V5" s="17"/>
      <c r="W5" s="17"/>
      <c r="X5" s="17"/>
    </row>
    <row r="6">
      <c r="A6" s="3" t="s">
        <v>6</v>
      </c>
      <c r="B6" s="5" t="s">
        <v>39</v>
      </c>
      <c r="C6" s="11" t="s">
        <v>40</v>
      </c>
      <c r="D6" s="14">
        <v>-3.56886239260219</v>
      </c>
      <c r="E6" s="5">
        <v>-3.55879593471415</v>
      </c>
      <c r="F6" s="5">
        <v>-3.5105356243889</v>
      </c>
      <c r="G6" s="5">
        <v>-2196.96938144899</v>
      </c>
      <c r="H6" s="5">
        <v>-2196.9482309554</v>
      </c>
      <c r="I6" s="5">
        <v>-2196.95054817957</v>
      </c>
      <c r="J6" s="3">
        <v>-2196.95926110411</v>
      </c>
      <c r="K6" s="12">
        <v>-2196.91479329094</v>
      </c>
      <c r="L6" s="12">
        <v>-2196.93892868813</v>
      </c>
      <c r="M6" s="14"/>
      <c r="N6" s="14"/>
      <c r="O6" s="14"/>
      <c r="P6" s="12"/>
      <c r="Q6" s="12"/>
      <c r="R6" s="12"/>
      <c r="S6" s="19"/>
      <c r="T6" s="17"/>
      <c r="U6" s="17"/>
      <c r="V6" s="17"/>
      <c r="W6" s="17"/>
      <c r="X6" s="17"/>
    </row>
    <row r="7">
      <c r="A7" s="3" t="s">
        <v>7</v>
      </c>
      <c r="B7" s="5" t="s">
        <v>39</v>
      </c>
      <c r="C7" s="11" t="s">
        <v>40</v>
      </c>
      <c r="D7" s="14">
        <v>-6.41566925251762</v>
      </c>
      <c r="E7" s="5">
        <v>-6.38604159399552</v>
      </c>
      <c r="F7" s="5">
        <v>-6.39813421819066</v>
      </c>
      <c r="G7" s="5">
        <v>-231.619755159525</v>
      </c>
      <c r="H7" s="5">
        <v>-231.61978877162</v>
      </c>
      <c r="I7" s="5">
        <v>-231.614160505158</v>
      </c>
      <c r="J7" s="3">
        <v>-232.068547708077</v>
      </c>
      <c r="K7" s="12">
        <v>-232.053580723273</v>
      </c>
      <c r="L7" s="12">
        <v>-232.058900455824</v>
      </c>
      <c r="M7" s="14"/>
      <c r="N7" s="21"/>
      <c r="O7" s="14"/>
      <c r="P7" s="12"/>
      <c r="Q7" s="12"/>
      <c r="R7" s="12"/>
      <c r="S7" s="19"/>
      <c r="T7" s="17"/>
      <c r="U7" s="17"/>
      <c r="V7" s="17"/>
      <c r="W7" s="17"/>
      <c r="X7" s="17"/>
    </row>
    <row r="8">
      <c r="A8" s="3" t="s">
        <v>8</v>
      </c>
      <c r="B8" s="5" t="s">
        <v>39</v>
      </c>
      <c r="C8" s="11" t="s">
        <v>40</v>
      </c>
      <c r="D8" s="14">
        <v>-3.88719480781506</v>
      </c>
      <c r="E8" s="5">
        <v>-3.90485405757026</v>
      </c>
      <c r="F8" s="5">
        <v>-3.91149457416897</v>
      </c>
      <c r="G8" s="5">
        <v>-520.366857782362</v>
      </c>
      <c r="H8" s="5">
        <v>-520.371288518826</v>
      </c>
      <c r="I8" s="5">
        <v>-520.355545910994</v>
      </c>
      <c r="J8" s="3">
        <v>-520.207448081745</v>
      </c>
      <c r="K8" s="12">
        <v>-520.203285426444</v>
      </c>
      <c r="L8" s="12">
        <v>-520.209331995228</v>
      </c>
      <c r="M8" s="14"/>
      <c r="N8" s="21"/>
      <c r="O8" s="14"/>
      <c r="P8" s="12"/>
      <c r="Q8" s="12"/>
      <c r="R8" s="12"/>
      <c r="S8" s="19"/>
      <c r="T8" s="17"/>
      <c r="U8" s="17"/>
      <c r="V8" s="17"/>
      <c r="W8" s="17"/>
      <c r="X8" s="17"/>
    </row>
    <row r="9">
      <c r="A9" s="3" t="s">
        <v>9</v>
      </c>
      <c r="B9" s="5" t="s">
        <v>39</v>
      </c>
      <c r="C9" s="11" t="s">
        <v>40</v>
      </c>
      <c r="D9" s="14">
        <v>-5.35039350909685</v>
      </c>
      <c r="E9" s="5">
        <v>-5.36128645778966</v>
      </c>
      <c r="F9" s="5">
        <v>-5.40428665126517</v>
      </c>
      <c r="G9" s="5">
        <v>-1778.87288768431</v>
      </c>
      <c r="H9" s="5">
        <v>-1778.88800976514</v>
      </c>
      <c r="I9" s="5">
        <v>-1778.89108958242</v>
      </c>
      <c r="J9" s="3">
        <v>-1780.11337187109</v>
      </c>
      <c r="K9" s="12">
        <v>-1780.03955413701</v>
      </c>
      <c r="L9" s="12">
        <v>-1780.04636350567</v>
      </c>
      <c r="M9" s="14"/>
      <c r="N9" s="14"/>
      <c r="O9" s="14"/>
      <c r="P9" s="12"/>
      <c r="Q9" s="12"/>
      <c r="R9" s="12"/>
      <c r="S9" s="19"/>
      <c r="T9" s="17"/>
      <c r="U9" s="17"/>
      <c r="V9" s="17"/>
      <c r="W9" s="17"/>
      <c r="X9" s="17"/>
    </row>
    <row r="10">
      <c r="A10" s="3" t="s">
        <v>10</v>
      </c>
      <c r="B10" s="5" t="s">
        <v>39</v>
      </c>
      <c r="C10" s="11" t="s">
        <v>40</v>
      </c>
      <c r="D10" s="14">
        <v>-6.97424986531533</v>
      </c>
      <c r="E10" s="5">
        <v>-6.88356021638418</v>
      </c>
      <c r="F10" s="5">
        <v>-6.92268717793564</v>
      </c>
      <c r="G10" s="5">
        <v>-760.663608177913</v>
      </c>
      <c r="H10" s="5">
        <v>-760.674895457172</v>
      </c>
      <c r="I10" s="5">
        <v>-760.657270825608</v>
      </c>
      <c r="J10" s="3">
        <v>-760.657451954244</v>
      </c>
      <c r="K10" s="12">
        <v>-760.554794941021</v>
      </c>
      <c r="L10" s="12">
        <v>-760.588866419392</v>
      </c>
      <c r="M10" s="14"/>
      <c r="N10" s="21"/>
      <c r="O10" s="14"/>
      <c r="P10" s="12"/>
      <c r="Q10" s="12"/>
      <c r="R10" s="12"/>
      <c r="S10" s="19"/>
      <c r="T10" s="17"/>
      <c r="U10" s="17"/>
      <c r="V10" s="17"/>
      <c r="W10" s="17"/>
      <c r="X10" s="17"/>
    </row>
    <row r="11">
      <c r="A11" s="3" t="s">
        <v>11</v>
      </c>
      <c r="B11" s="5" t="s">
        <v>39</v>
      </c>
      <c r="C11" s="11" t="s">
        <v>40</v>
      </c>
      <c r="D11" s="14">
        <v>-3.89721725444769</v>
      </c>
      <c r="E11" s="5">
        <v>-3.87797677368857</v>
      </c>
      <c r="F11" s="5">
        <v>-3.84153869623963</v>
      </c>
      <c r="G11" s="5">
        <v>-1393.93380403177</v>
      </c>
      <c r="H11" s="5">
        <v>-1393.97262831784</v>
      </c>
      <c r="I11" s="5">
        <v>-1393.94069959238</v>
      </c>
      <c r="J11" s="3">
        <v>-1393.87269188608</v>
      </c>
      <c r="K11" s="12">
        <v>-1393.88640391103</v>
      </c>
      <c r="L11" s="12">
        <v>-1393.871344442</v>
      </c>
      <c r="M11" s="14"/>
      <c r="N11" s="14"/>
      <c r="O11" s="14"/>
      <c r="P11" s="12"/>
      <c r="Q11" s="12"/>
      <c r="R11" s="12"/>
      <c r="S11" s="19"/>
      <c r="T11" s="17"/>
      <c r="U11" s="17"/>
      <c r="V11" s="17"/>
      <c r="W11" s="17"/>
      <c r="X11" s="17"/>
    </row>
    <row r="12">
      <c r="A12" s="5" t="s">
        <v>12</v>
      </c>
      <c r="B12" s="5" t="s">
        <v>39</v>
      </c>
      <c r="C12" s="11" t="s">
        <v>40</v>
      </c>
      <c r="D12" s="14">
        <v>-3.09571087847134</v>
      </c>
      <c r="E12" s="5">
        <v>-3.13768507536712</v>
      </c>
      <c r="F12" s="5">
        <v>-3.05633688675806</v>
      </c>
      <c r="G12" s="5">
        <v>-1986.21027203013</v>
      </c>
      <c r="H12" s="5">
        <v>-1986.20627106504</v>
      </c>
      <c r="I12" s="5">
        <v>-1986.21987555197</v>
      </c>
      <c r="J12" s="5">
        <v>-1986.18642752198</v>
      </c>
      <c r="K12" s="12">
        <v>-1986.14414050698</v>
      </c>
      <c r="L12" s="12">
        <v>-1986.14779344202</v>
      </c>
      <c r="M12" s="14"/>
      <c r="N12" s="14"/>
      <c r="O12" s="14"/>
      <c r="P12" s="12"/>
      <c r="Q12" s="12"/>
      <c r="R12" s="12"/>
      <c r="S12" s="19"/>
      <c r="T12" s="17"/>
      <c r="U12" s="17"/>
      <c r="V12" s="17"/>
      <c r="W12" s="17"/>
      <c r="X12" s="17"/>
    </row>
    <row r="13">
      <c r="A13" s="5" t="s">
        <v>13</v>
      </c>
      <c r="B13" s="5" t="s">
        <v>39</v>
      </c>
      <c r="C13" s="11" t="s">
        <v>40</v>
      </c>
      <c r="D13" s="14">
        <v>-5.13614358232205</v>
      </c>
      <c r="E13" s="5">
        <v>-5.13012207145044</v>
      </c>
      <c r="F13" s="5">
        <v>-5.19314161040346</v>
      </c>
      <c r="G13" s="5">
        <v>-2068.80761106158</v>
      </c>
      <c r="H13" s="5">
        <v>-2068.81231537227</v>
      </c>
      <c r="I13" s="5">
        <v>-2068.804128456</v>
      </c>
      <c r="J13" s="5">
        <v>-2068.66969093271</v>
      </c>
      <c r="K13" s="12">
        <v>-2068.67914131626</v>
      </c>
      <c r="L13" s="12">
        <v>-2068.71558434797</v>
      </c>
      <c r="M13" s="14"/>
      <c r="N13" s="14"/>
      <c r="O13" s="14"/>
      <c r="P13" s="12"/>
      <c r="Q13" s="12"/>
      <c r="R13" s="12"/>
      <c r="S13" s="19"/>
      <c r="T13" s="17"/>
      <c r="U13" s="17"/>
      <c r="V13" s="17"/>
      <c r="W13" s="17"/>
      <c r="X13" s="17"/>
    </row>
    <row r="14">
      <c r="A14" s="5" t="s">
        <v>14</v>
      </c>
      <c r="B14" s="5" t="s">
        <v>39</v>
      </c>
      <c r="C14" s="11" t="s">
        <v>40</v>
      </c>
      <c r="D14" s="14">
        <v>-2.81603709012573</v>
      </c>
      <c r="E14" s="5">
        <v>-2.83118514334944</v>
      </c>
      <c r="F14" s="5">
        <v>-2.84995331250088</v>
      </c>
      <c r="G14" s="5">
        <v>-1576.78998773949</v>
      </c>
      <c r="H14" s="5">
        <v>-1576.87356487433</v>
      </c>
      <c r="I14" s="5">
        <v>-1576.86803475104</v>
      </c>
      <c r="J14" s="5">
        <v>-1576.88698722086</v>
      </c>
      <c r="K14" s="12">
        <v>-1576.82137754276</v>
      </c>
      <c r="L14" s="12">
        <v>-1576.87078867854</v>
      </c>
      <c r="M14" s="14"/>
      <c r="N14" s="14"/>
      <c r="O14" s="14"/>
      <c r="P14" s="12"/>
      <c r="Q14" s="12"/>
      <c r="R14" s="12"/>
      <c r="S14" s="19"/>
      <c r="T14" s="17"/>
      <c r="U14" s="17"/>
      <c r="V14" s="17"/>
      <c r="W14" s="17"/>
      <c r="X14" s="17"/>
    </row>
    <row r="15">
      <c r="A15" s="5" t="s">
        <v>15</v>
      </c>
      <c r="B15" s="5" t="s">
        <v>39</v>
      </c>
      <c r="C15" s="11" t="s">
        <v>40</v>
      </c>
      <c r="D15" s="14">
        <v>-2.37193388227472</v>
      </c>
      <c r="E15" s="5">
        <v>-2.45836709009191</v>
      </c>
      <c r="F15" s="5">
        <v>-2.3544967282966</v>
      </c>
      <c r="G15" s="5">
        <v>-2076.10882243555</v>
      </c>
      <c r="H15" s="5">
        <v>-2076.07377279508</v>
      </c>
      <c r="I15" s="5">
        <v>-2076.09715110594</v>
      </c>
      <c r="J15" s="5">
        <v>-2076.2089497825</v>
      </c>
      <c r="K15" s="12">
        <v>-2076.22485040944</v>
      </c>
      <c r="L15" s="12">
        <v>-2076.23230440011</v>
      </c>
      <c r="M15" s="14"/>
      <c r="N15" s="14"/>
      <c r="O15" s="14"/>
      <c r="P15" s="12"/>
      <c r="Q15" s="12"/>
      <c r="R15" s="12"/>
      <c r="S15" s="19"/>
      <c r="T15" s="17"/>
      <c r="U15" s="17"/>
      <c r="V15" s="17"/>
      <c r="W15" s="17"/>
      <c r="X15" s="17"/>
    </row>
    <row r="16">
      <c r="A16" s="5" t="s">
        <v>16</v>
      </c>
      <c r="B16" s="5" t="s">
        <v>39</v>
      </c>
      <c r="C16" s="11" t="s">
        <v>40</v>
      </c>
      <c r="D16" s="14">
        <v>-10.003449066049</v>
      </c>
      <c r="E16" s="5">
        <v>-10.068394399753</v>
      </c>
      <c r="F16" s="5">
        <v>-9.906834306375</v>
      </c>
      <c r="G16" s="5">
        <v>-1752.53802366938</v>
      </c>
      <c r="H16" s="5">
        <v>-1752.5269618749</v>
      </c>
      <c r="I16" s="5">
        <v>-1752.58423725622</v>
      </c>
      <c r="J16" s="5">
        <v>-1752.37171656138</v>
      </c>
      <c r="K16" s="12">
        <v>-1752.80389086136</v>
      </c>
      <c r="L16" s="12">
        <v>-1752.42035700987</v>
      </c>
      <c r="M16" s="14"/>
      <c r="N16" s="14"/>
      <c r="O16" s="14"/>
      <c r="P16" s="12"/>
      <c r="Q16" s="12"/>
      <c r="R16" s="12"/>
      <c r="S16" s="19"/>
      <c r="T16" s="17"/>
      <c r="U16" s="17"/>
      <c r="V16" s="17"/>
      <c r="W16" s="17"/>
      <c r="X16" s="17"/>
    </row>
    <row r="17">
      <c r="A17" s="5" t="s">
        <v>17</v>
      </c>
      <c r="B17" s="5" t="s">
        <v>39</v>
      </c>
      <c r="C17" s="11" t="s">
        <v>40</v>
      </c>
      <c r="D17" s="14">
        <v>-2.89978038640507</v>
      </c>
      <c r="E17" s="5">
        <v>-2.91761495274448</v>
      </c>
      <c r="F17" s="5">
        <v>-2.92160251071694</v>
      </c>
      <c r="G17" s="5">
        <v>-613.693195330232</v>
      </c>
      <c r="H17" s="5">
        <v>-613.688103109316</v>
      </c>
      <c r="I17" s="5">
        <v>-613.686067367066</v>
      </c>
      <c r="J17" s="5">
        <v>-613.653756344931</v>
      </c>
      <c r="K17" s="12">
        <v>-613.676639094011</v>
      </c>
      <c r="L17" s="12">
        <v>-613.653525988016</v>
      </c>
      <c r="M17" s="14"/>
      <c r="N17" s="21"/>
      <c r="O17" s="14"/>
      <c r="P17" s="12"/>
      <c r="Q17" s="12"/>
      <c r="R17" s="12"/>
      <c r="S17" s="19"/>
      <c r="T17" s="17"/>
      <c r="U17" s="17"/>
      <c r="V17" s="17"/>
      <c r="W17" s="17"/>
      <c r="X17" s="17"/>
    </row>
    <row r="18">
      <c r="A18" s="5" t="s">
        <v>18</v>
      </c>
      <c r="B18" s="5" t="s">
        <v>39</v>
      </c>
      <c r="C18" s="11" t="s">
        <v>40</v>
      </c>
      <c r="D18" s="14">
        <v>-3.81766035083333</v>
      </c>
      <c r="E18" s="5">
        <v>-3.77269889439928</v>
      </c>
      <c r="F18" s="5">
        <v>-3.7827375892691</v>
      </c>
      <c r="G18" s="5">
        <v>-1241.96847825779</v>
      </c>
      <c r="H18" s="5">
        <v>-1241.98573642706</v>
      </c>
      <c r="I18" s="3">
        <v>-1241.97959323132</v>
      </c>
      <c r="J18" s="5">
        <v>-1241.9553691482</v>
      </c>
      <c r="K18" s="12">
        <v>-1241.99153231945</v>
      </c>
      <c r="L18" s="12">
        <v>-1241.97396501123</v>
      </c>
      <c r="M18" s="14"/>
      <c r="N18" s="14"/>
      <c r="O18" s="14"/>
      <c r="P18" s="12"/>
      <c r="Q18" s="12"/>
      <c r="R18" s="12"/>
      <c r="S18" s="19"/>
      <c r="T18" s="17"/>
      <c r="U18" s="17"/>
      <c r="V18" s="17"/>
      <c r="W18" s="17"/>
      <c r="X18" s="17"/>
    </row>
    <row r="19">
      <c r="A19" s="5" t="s">
        <v>19</v>
      </c>
      <c r="B19" s="5" t="s">
        <v>39</v>
      </c>
      <c r="C19" s="11" t="s">
        <v>40</v>
      </c>
      <c r="D19" s="14">
        <v>-6.04029009161513</v>
      </c>
      <c r="E19" s="5">
        <v>-5.98915844597813</v>
      </c>
      <c r="F19" s="5">
        <v>-6.03706294399824</v>
      </c>
      <c r="G19" s="5">
        <v>-1535.59425022233</v>
      </c>
      <c r="H19" s="5">
        <v>-1535.56882055473</v>
      </c>
      <c r="I19" s="5">
        <v>-1535.56478311044</v>
      </c>
      <c r="J19" s="5">
        <v>-1536.25174904739</v>
      </c>
      <c r="K19" s="12">
        <v>-1536.24004978813</v>
      </c>
      <c r="L19" s="12">
        <v>-1536.27672237269</v>
      </c>
      <c r="M19" s="14"/>
      <c r="N19" s="14"/>
      <c r="O19" s="14"/>
      <c r="P19" s="12"/>
      <c r="Q19" s="12"/>
      <c r="R19" s="12"/>
      <c r="S19" s="19"/>
      <c r="T19" s="17"/>
      <c r="U19" s="17"/>
      <c r="V19" s="17"/>
      <c r="W19" s="17"/>
      <c r="X19" s="17"/>
    </row>
    <row r="20">
      <c r="A20" s="5" t="s">
        <v>20</v>
      </c>
      <c r="B20" s="5" t="s">
        <v>39</v>
      </c>
      <c r="C20" s="11" t="s">
        <v>40</v>
      </c>
      <c r="D20" s="14">
        <v>-10.2027394403242</v>
      </c>
      <c r="E20" s="5">
        <v>-10.1825091004166</v>
      </c>
      <c r="F20" s="5">
        <v>-10.2553731326657</v>
      </c>
      <c r="G20" s="5">
        <v>-1813.46646219392</v>
      </c>
      <c r="H20" s="5">
        <v>-1813.45874378701</v>
      </c>
      <c r="I20" s="5">
        <v>-1813.47705605625</v>
      </c>
      <c r="J20" s="5">
        <v>-1813.59646389896</v>
      </c>
      <c r="K20" s="12">
        <v>-1813.60956793428</v>
      </c>
      <c r="L20" s="12">
        <v>-1813.47705605625</v>
      </c>
      <c r="M20" s="14"/>
      <c r="N20" s="14"/>
      <c r="O20" s="14"/>
      <c r="P20" s="12"/>
      <c r="Q20" s="12"/>
      <c r="R20" s="12"/>
      <c r="S20" s="19"/>
      <c r="T20" s="17"/>
      <c r="U20" s="17"/>
      <c r="V20" s="17"/>
      <c r="W20" s="17"/>
      <c r="X20" s="17"/>
    </row>
    <row r="21">
      <c r="A21" s="5" t="s">
        <v>21</v>
      </c>
      <c r="B21" s="5" t="s">
        <v>39</v>
      </c>
      <c r="C21" s="11" t="s">
        <v>40</v>
      </c>
      <c r="D21" s="14">
        <v>-0.123183096673853</v>
      </c>
      <c r="E21" s="5">
        <v>-0.231944131967238</v>
      </c>
      <c r="F21" s="5">
        <v>-0.157091502640188</v>
      </c>
      <c r="G21" s="5">
        <v>-1082.53427341206</v>
      </c>
      <c r="H21" s="5">
        <v>-1082.50180865087</v>
      </c>
      <c r="I21" s="5">
        <v>-1082.57571943665</v>
      </c>
      <c r="J21" s="5">
        <v>-1082.59884386702</v>
      </c>
      <c r="K21" s="12">
        <v>-1082.66152379013</v>
      </c>
      <c r="L21" s="12">
        <v>-1082.54246437486</v>
      </c>
      <c r="M21" s="14"/>
      <c r="N21" s="21"/>
      <c r="O21" s="14"/>
      <c r="P21" s="12"/>
      <c r="Q21" s="12"/>
      <c r="R21" s="12"/>
      <c r="S21" s="19"/>
      <c r="T21" s="17"/>
      <c r="U21" s="17"/>
      <c r="V21" s="17"/>
      <c r="W21" s="17"/>
      <c r="X21" s="17"/>
    </row>
    <row r="22">
      <c r="A22" s="5" t="s">
        <v>22</v>
      </c>
      <c r="B22" s="5" t="s">
        <v>39</v>
      </c>
      <c r="C22" s="11" t="s">
        <v>40</v>
      </c>
      <c r="D22" s="14">
        <v>-1.2025814656559</v>
      </c>
      <c r="E22" s="5">
        <v>-1.30202529530912</v>
      </c>
      <c r="F22" s="5">
        <v>-1.25160586856288</v>
      </c>
      <c r="G22" s="5">
        <v>-1744.04966470717</v>
      </c>
      <c r="H22" s="5">
        <v>-1744.04737563011</v>
      </c>
      <c r="I22" s="3">
        <v>-1744.04611080346</v>
      </c>
      <c r="J22" s="5">
        <v>-1744.25619681954</v>
      </c>
      <c r="K22" s="12">
        <v>-1744.25491256559</v>
      </c>
      <c r="L22" s="12">
        <v>-1744.25806787175</v>
      </c>
      <c r="M22" s="14"/>
      <c r="N22" s="14"/>
      <c r="O22" s="14"/>
      <c r="P22" s="12"/>
      <c r="Q22" s="12"/>
      <c r="R22" s="12"/>
      <c r="S22" s="19"/>
      <c r="T22" s="17"/>
      <c r="U22" s="17"/>
      <c r="V22" s="17"/>
      <c r="W22" s="17"/>
      <c r="X22" s="17"/>
    </row>
    <row r="23">
      <c r="A23" s="17"/>
      <c r="B23" s="17"/>
      <c r="C23" s="17"/>
      <c r="D23" s="19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P32" s="17"/>
      <c r="Q32" s="17"/>
      <c r="R32" s="17"/>
      <c r="S32" s="17"/>
      <c r="T32" s="17"/>
      <c r="U32" s="17"/>
      <c r="V32" s="17"/>
      <c r="W32" s="17"/>
      <c r="X32" s="17"/>
    </row>
    <row r="33">
      <c r="A33" s="19"/>
      <c r="B33" s="19"/>
      <c r="C33" s="3"/>
      <c r="D33" s="17"/>
      <c r="E33" s="17"/>
      <c r="F33" s="17"/>
      <c r="I33" s="17"/>
      <c r="J33" s="17"/>
      <c r="K33" s="17"/>
      <c r="M33" s="14"/>
      <c r="N33" s="22"/>
      <c r="O33" s="17"/>
      <c r="P33" s="17"/>
      <c r="Q33" s="19"/>
      <c r="R33" s="17"/>
      <c r="S33" s="19"/>
      <c r="T33" s="17"/>
      <c r="U33" s="17"/>
      <c r="V33" s="17"/>
      <c r="W33" s="17"/>
      <c r="X33" s="17"/>
    </row>
    <row r="34">
      <c r="A34" s="19"/>
      <c r="B34" s="19"/>
      <c r="C34" s="3"/>
      <c r="D34" s="17"/>
      <c r="E34" s="17"/>
      <c r="F34" s="17"/>
      <c r="I34" s="17"/>
      <c r="J34" s="17"/>
      <c r="K34" s="17"/>
      <c r="M34" s="14"/>
      <c r="N34" s="22"/>
      <c r="P34" s="17"/>
      <c r="Q34" s="19"/>
      <c r="R34" s="17"/>
      <c r="S34" s="19"/>
      <c r="T34" s="17"/>
      <c r="U34" s="17"/>
      <c r="V34" s="17"/>
      <c r="W34" s="17"/>
      <c r="X34" s="17"/>
    </row>
    <row r="35">
      <c r="A35" s="19"/>
      <c r="B35" s="19"/>
      <c r="C35" s="3"/>
      <c r="D35" s="17"/>
      <c r="E35" s="17"/>
      <c r="F35" s="17"/>
      <c r="I35" s="17"/>
      <c r="J35" s="17"/>
      <c r="K35" s="17"/>
      <c r="M35" s="14"/>
      <c r="N35" s="22"/>
      <c r="O35" s="17"/>
      <c r="P35" s="19"/>
      <c r="Q35" s="19"/>
      <c r="R35" s="17"/>
      <c r="S35" s="19"/>
      <c r="T35" s="17"/>
      <c r="U35" s="17"/>
      <c r="V35" s="17"/>
      <c r="W35" s="17"/>
      <c r="X35" s="17"/>
    </row>
    <row r="36">
      <c r="A36" s="19"/>
      <c r="B36" s="19"/>
      <c r="C36" s="3"/>
      <c r="D36" s="17"/>
      <c r="E36" s="17"/>
      <c r="F36" s="17"/>
      <c r="I36" s="17"/>
      <c r="J36" s="17"/>
      <c r="K36" s="17"/>
      <c r="M36" s="14"/>
      <c r="N36" s="22"/>
      <c r="P36" s="17"/>
      <c r="Q36" s="19"/>
      <c r="R36" s="17"/>
      <c r="S36" s="19"/>
      <c r="T36" s="17"/>
      <c r="U36" s="17"/>
      <c r="V36" s="17"/>
      <c r="W36" s="17"/>
      <c r="X36" s="17"/>
    </row>
    <row r="37">
      <c r="A37" s="19"/>
      <c r="B37" s="19"/>
      <c r="C37" s="3"/>
      <c r="D37" s="17"/>
      <c r="E37" s="17"/>
      <c r="F37" s="17"/>
      <c r="I37" s="17"/>
      <c r="J37" s="17"/>
      <c r="K37" s="17"/>
      <c r="M37" s="14"/>
      <c r="N37" s="22"/>
      <c r="O37" s="17"/>
      <c r="P37" s="17"/>
      <c r="Q37" s="19"/>
      <c r="R37" s="17"/>
      <c r="S37" s="19"/>
      <c r="T37" s="17"/>
      <c r="U37" s="17"/>
      <c r="V37" s="17"/>
      <c r="W37" s="17"/>
      <c r="X37" s="17"/>
    </row>
    <row r="38">
      <c r="A38" s="19"/>
      <c r="B38" s="19"/>
      <c r="C38" s="3"/>
      <c r="D38" s="17"/>
      <c r="E38" s="17"/>
      <c r="F38" s="17"/>
      <c r="I38" s="17"/>
      <c r="J38" s="17"/>
      <c r="K38" s="17"/>
      <c r="M38" s="14"/>
      <c r="N38" s="22"/>
      <c r="P38" s="17"/>
      <c r="Q38" s="19"/>
      <c r="R38" s="17"/>
      <c r="S38" s="19"/>
      <c r="T38" s="17"/>
      <c r="U38" s="17"/>
      <c r="V38" s="17"/>
      <c r="W38" s="17"/>
      <c r="X38" s="17"/>
    </row>
    <row r="39">
      <c r="A39" s="19"/>
      <c r="B39" s="19"/>
      <c r="C39" s="3"/>
      <c r="D39" s="17"/>
      <c r="E39" s="17"/>
      <c r="F39" s="17"/>
      <c r="I39" s="17"/>
      <c r="J39" s="17"/>
      <c r="K39" s="17"/>
      <c r="M39" s="14"/>
      <c r="N39" s="22"/>
      <c r="O39" s="17"/>
      <c r="P39" s="17"/>
      <c r="Q39" s="19"/>
      <c r="R39" s="17"/>
      <c r="S39" s="19"/>
      <c r="T39" s="17"/>
      <c r="U39" s="17"/>
      <c r="V39" s="17"/>
      <c r="W39" s="17"/>
      <c r="X39" s="17"/>
    </row>
    <row r="40">
      <c r="A40" s="19"/>
      <c r="B40" s="19"/>
      <c r="C40" s="3"/>
      <c r="D40" s="17"/>
      <c r="E40" s="17"/>
      <c r="F40" s="17"/>
      <c r="I40" s="17"/>
      <c r="J40" s="17"/>
      <c r="K40" s="17"/>
      <c r="M40" s="14"/>
      <c r="N40" s="22"/>
      <c r="P40" s="17"/>
      <c r="Q40" s="19"/>
      <c r="R40" s="17"/>
      <c r="S40" s="19"/>
      <c r="T40" s="17"/>
      <c r="U40" s="17"/>
      <c r="V40" s="17"/>
      <c r="W40" s="17"/>
      <c r="X40" s="17"/>
    </row>
    <row r="41">
      <c r="A41" s="19"/>
      <c r="B41" s="19"/>
      <c r="C41" s="3"/>
      <c r="D41" s="17"/>
      <c r="E41" s="17"/>
      <c r="F41" s="17"/>
      <c r="I41" s="17"/>
      <c r="J41" s="17"/>
      <c r="K41" s="17"/>
      <c r="M41" s="14"/>
      <c r="N41" s="14"/>
      <c r="O41" s="17"/>
      <c r="P41" s="17"/>
      <c r="Q41" s="19"/>
      <c r="R41" s="17"/>
      <c r="S41" s="19"/>
      <c r="T41" s="17"/>
      <c r="U41" s="17"/>
      <c r="V41" s="17"/>
      <c r="W41" s="17"/>
      <c r="X41" s="17"/>
    </row>
    <row r="42">
      <c r="A42" s="19"/>
      <c r="B42" s="19"/>
      <c r="C42" s="5"/>
      <c r="D42" s="17"/>
      <c r="E42" s="17"/>
      <c r="F42" s="17"/>
      <c r="I42" s="17"/>
      <c r="J42" s="17"/>
      <c r="K42" s="17"/>
      <c r="M42" s="14"/>
      <c r="N42" s="22"/>
      <c r="P42" s="17"/>
      <c r="Q42" s="19"/>
      <c r="R42" s="17"/>
      <c r="S42" s="19"/>
      <c r="T42" s="17"/>
      <c r="U42" s="17"/>
      <c r="V42" s="17"/>
      <c r="W42" s="17"/>
      <c r="X42" s="17"/>
    </row>
    <row r="43">
      <c r="A43" s="19"/>
      <c r="B43" s="19"/>
      <c r="C43" s="5"/>
      <c r="D43" s="17"/>
      <c r="E43" s="17"/>
      <c r="F43" s="17"/>
      <c r="I43" s="17"/>
      <c r="J43" s="17"/>
      <c r="K43" s="17"/>
      <c r="M43" s="14"/>
      <c r="N43" s="22"/>
      <c r="O43" s="17"/>
      <c r="P43" s="17"/>
      <c r="Q43" s="19"/>
      <c r="R43" s="17"/>
      <c r="S43" s="19"/>
      <c r="T43" s="17"/>
      <c r="U43" s="17"/>
      <c r="V43" s="17"/>
      <c r="W43" s="17"/>
      <c r="X43" s="17"/>
    </row>
    <row r="44">
      <c r="A44" s="19"/>
      <c r="B44" s="19"/>
      <c r="C44" s="5"/>
      <c r="D44" s="17"/>
      <c r="E44" s="17"/>
      <c r="F44" s="17"/>
      <c r="I44" s="17"/>
      <c r="J44" s="17"/>
      <c r="K44" s="17"/>
      <c r="M44" s="14"/>
      <c r="N44" s="22"/>
      <c r="P44" s="17"/>
      <c r="Q44" s="19"/>
      <c r="R44" s="17"/>
      <c r="S44" s="19"/>
      <c r="T44" s="17"/>
      <c r="U44" s="17"/>
      <c r="V44" s="17"/>
      <c r="W44" s="17"/>
      <c r="X44" s="17"/>
    </row>
    <row r="45">
      <c r="A45" s="19"/>
      <c r="B45" s="19"/>
      <c r="C45" s="5"/>
      <c r="D45" s="17"/>
      <c r="E45" s="17"/>
      <c r="F45" s="17"/>
      <c r="I45" s="17"/>
      <c r="J45" s="17"/>
      <c r="K45" s="17"/>
      <c r="M45" s="14"/>
      <c r="N45" s="22"/>
      <c r="O45" s="17"/>
      <c r="P45" s="17"/>
      <c r="Q45" s="19"/>
      <c r="R45" s="17"/>
      <c r="S45" s="19"/>
      <c r="T45" s="17"/>
      <c r="U45" s="17"/>
      <c r="V45" s="17"/>
      <c r="W45" s="17"/>
      <c r="X45" s="17"/>
    </row>
    <row r="46">
      <c r="A46" s="19"/>
      <c r="B46" s="19"/>
      <c r="C46" s="5"/>
      <c r="D46" s="17"/>
      <c r="E46" s="17"/>
      <c r="F46" s="17"/>
      <c r="I46" s="17"/>
      <c r="J46" s="17"/>
      <c r="K46" s="17"/>
      <c r="M46" s="14"/>
      <c r="N46" s="22"/>
      <c r="P46" s="17"/>
      <c r="Q46" s="19"/>
      <c r="R46" s="17"/>
      <c r="S46" s="19"/>
      <c r="T46" s="17"/>
      <c r="U46" s="17"/>
      <c r="V46" s="17"/>
      <c r="W46" s="17"/>
      <c r="X46" s="17"/>
    </row>
    <row r="47">
      <c r="A47" s="19"/>
      <c r="B47" s="19"/>
      <c r="C47" s="5"/>
      <c r="D47" s="17"/>
      <c r="E47" s="17"/>
      <c r="F47" s="17"/>
      <c r="I47" s="17"/>
      <c r="J47" s="17"/>
      <c r="K47" s="17"/>
      <c r="M47" s="14"/>
      <c r="N47" s="22"/>
      <c r="O47" s="17"/>
      <c r="P47" s="17"/>
      <c r="Q47" s="19"/>
      <c r="R47" s="17"/>
      <c r="S47" s="19"/>
      <c r="T47" s="17"/>
      <c r="U47" s="17"/>
      <c r="V47" s="17"/>
      <c r="W47" s="17"/>
      <c r="X47" s="17"/>
    </row>
    <row r="48">
      <c r="A48" s="19"/>
      <c r="B48" s="19"/>
      <c r="C48" s="5"/>
      <c r="D48" s="17"/>
      <c r="E48" s="17"/>
      <c r="F48" s="17"/>
      <c r="I48" s="17"/>
      <c r="J48" s="17"/>
      <c r="K48" s="17"/>
      <c r="M48" s="14"/>
      <c r="N48" s="22"/>
      <c r="P48" s="17"/>
      <c r="Q48" s="19"/>
      <c r="R48" s="17"/>
      <c r="S48" s="19"/>
      <c r="T48" s="17"/>
      <c r="U48" s="17"/>
      <c r="V48" s="17"/>
      <c r="W48" s="17"/>
      <c r="X48" s="17"/>
    </row>
    <row r="49">
      <c r="A49" s="19"/>
      <c r="B49" s="19"/>
      <c r="C49" s="5"/>
      <c r="D49" s="17"/>
      <c r="E49" s="17"/>
      <c r="F49" s="17"/>
      <c r="I49" s="17"/>
      <c r="J49" s="17"/>
      <c r="K49" s="17"/>
      <c r="M49" s="14"/>
      <c r="N49" s="22"/>
      <c r="O49" s="17"/>
      <c r="P49" s="17"/>
      <c r="Q49" s="19"/>
      <c r="R49" s="17"/>
      <c r="S49" s="19"/>
      <c r="T49" s="17"/>
      <c r="U49" s="17"/>
      <c r="V49" s="17"/>
      <c r="W49" s="17"/>
      <c r="X49" s="17"/>
    </row>
    <row r="50">
      <c r="A50" s="19"/>
      <c r="B50" s="19"/>
      <c r="C50" s="5"/>
      <c r="D50" s="17"/>
      <c r="E50" s="17"/>
      <c r="F50" s="17"/>
      <c r="I50" s="17"/>
      <c r="J50" s="17"/>
      <c r="K50" s="17"/>
      <c r="M50" s="14"/>
      <c r="N50" s="22"/>
      <c r="P50" s="17"/>
      <c r="Q50" s="19"/>
      <c r="R50" s="17"/>
      <c r="S50" s="19"/>
      <c r="T50" s="17"/>
      <c r="U50" s="17"/>
      <c r="V50" s="17"/>
      <c r="W50" s="17"/>
      <c r="X50" s="17"/>
    </row>
    <row r="51">
      <c r="A51" s="19"/>
      <c r="B51" s="19"/>
      <c r="C51" s="5"/>
      <c r="D51" s="17"/>
      <c r="E51" s="17"/>
      <c r="F51" s="17"/>
      <c r="I51" s="17"/>
      <c r="J51" s="17"/>
      <c r="K51" s="17"/>
      <c r="M51" s="14"/>
      <c r="N51" s="22"/>
      <c r="O51" s="17"/>
      <c r="P51" s="17"/>
      <c r="Q51" s="19"/>
      <c r="R51" s="17"/>
      <c r="S51" s="19"/>
      <c r="T51" s="17"/>
      <c r="U51" s="17"/>
      <c r="V51" s="17"/>
      <c r="W51" s="17"/>
      <c r="X51" s="17"/>
    </row>
    <row r="52">
      <c r="A52" s="19"/>
      <c r="B52" s="19"/>
      <c r="C52" s="5"/>
      <c r="D52" s="17"/>
      <c r="E52" s="17"/>
      <c r="F52" s="17"/>
      <c r="I52" s="17"/>
      <c r="J52" s="17"/>
      <c r="K52" s="17"/>
      <c r="M52" s="14"/>
      <c r="N52" s="14"/>
      <c r="P52" s="17"/>
      <c r="Q52" s="19"/>
      <c r="R52" s="17"/>
      <c r="S52" s="19"/>
      <c r="T52" s="17"/>
      <c r="U52" s="17"/>
      <c r="V52" s="17"/>
      <c r="W52" s="17"/>
      <c r="X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M53" s="17"/>
      <c r="N53" s="23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P54" s="17"/>
      <c r="Q54" s="17"/>
      <c r="R54" s="17"/>
      <c r="S54" s="17"/>
      <c r="T54" s="17"/>
      <c r="U54" s="17"/>
      <c r="V54" s="17"/>
      <c r="W54" s="17"/>
      <c r="X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M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P56" s="17"/>
      <c r="Q56" s="17"/>
      <c r="R56" s="17"/>
      <c r="S56" s="17"/>
      <c r="T56" s="17"/>
      <c r="U56" s="17"/>
      <c r="V56" s="17"/>
      <c r="W56" s="17"/>
      <c r="X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M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P58" s="17"/>
      <c r="Q58" s="17"/>
      <c r="R58" s="17"/>
      <c r="S58" s="17"/>
      <c r="T58" s="17"/>
      <c r="U58" s="17"/>
      <c r="V58" s="17"/>
      <c r="W58" s="17"/>
      <c r="X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M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P60" s="17"/>
      <c r="Q60" s="17"/>
      <c r="R60" s="17"/>
      <c r="S60" s="17"/>
      <c r="T60" s="17"/>
      <c r="U60" s="17"/>
      <c r="V60" s="17"/>
      <c r="W60" s="17"/>
      <c r="X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9"/>
      <c r="L61" s="22"/>
      <c r="M61" s="19"/>
      <c r="N61" s="22"/>
      <c r="O61" s="19"/>
      <c r="P61" s="19"/>
      <c r="Q61" s="19"/>
      <c r="R61" s="17"/>
      <c r="S61" s="17"/>
      <c r="T61" s="17"/>
      <c r="U61" s="17"/>
      <c r="V61" s="17"/>
      <c r="W61" s="17"/>
      <c r="X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3"/>
      <c r="K62" s="19"/>
      <c r="L62" s="22"/>
      <c r="M62" s="22"/>
      <c r="N62" s="22"/>
      <c r="O62" s="19"/>
      <c r="P62" s="19"/>
      <c r="Q62" s="19"/>
      <c r="R62" s="19"/>
      <c r="S62" s="19"/>
      <c r="T62" s="19"/>
      <c r="U62" s="19"/>
      <c r="V62" s="19"/>
      <c r="W62" s="19"/>
      <c r="X62" s="19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3"/>
      <c r="K63" s="19"/>
      <c r="L63" s="22"/>
      <c r="M63" s="19"/>
      <c r="N63" s="22"/>
      <c r="O63" s="19"/>
      <c r="P63" s="19"/>
      <c r="Q63" s="19"/>
      <c r="R63" s="19"/>
      <c r="S63" s="19"/>
      <c r="T63" s="19"/>
      <c r="U63" s="19"/>
      <c r="V63" s="19"/>
      <c r="W63" s="19"/>
      <c r="X63" s="19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3"/>
      <c r="K64" s="19"/>
      <c r="L64" s="22"/>
      <c r="M64" s="22"/>
      <c r="N64" s="22"/>
      <c r="O64" s="19"/>
      <c r="P64" s="19"/>
      <c r="Q64" s="19"/>
      <c r="R64" s="19"/>
      <c r="S64" s="19"/>
      <c r="T64" s="19"/>
      <c r="U64" s="19"/>
      <c r="V64" s="19"/>
      <c r="W64" s="19"/>
      <c r="X64" s="19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3"/>
      <c r="K65" s="19"/>
      <c r="L65" s="22"/>
      <c r="M65" s="19"/>
      <c r="N65" s="22"/>
      <c r="P65" s="19"/>
      <c r="Q65" s="19"/>
      <c r="R65" s="19"/>
      <c r="S65" s="19"/>
      <c r="T65" s="19"/>
      <c r="U65" s="19"/>
      <c r="V65" s="19"/>
      <c r="W65" s="19"/>
      <c r="X65" s="19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3"/>
      <c r="K66" s="19"/>
      <c r="L66" s="22"/>
      <c r="M66" s="22"/>
      <c r="N66" s="22"/>
      <c r="O66" s="19"/>
      <c r="P66" s="19"/>
      <c r="Q66" s="19"/>
      <c r="R66" s="19"/>
      <c r="S66" s="19"/>
      <c r="T66" s="19"/>
      <c r="U66" s="19"/>
      <c r="V66" s="19"/>
      <c r="W66" s="19"/>
      <c r="X66" s="19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3"/>
      <c r="K67" s="19"/>
      <c r="L67" s="22"/>
      <c r="M67" s="19"/>
      <c r="N67" s="22"/>
      <c r="P67" s="19"/>
      <c r="Q67" s="19"/>
      <c r="R67" s="19"/>
      <c r="S67" s="19"/>
      <c r="T67" s="19"/>
      <c r="U67" s="19"/>
      <c r="V67" s="19"/>
      <c r="W67" s="19"/>
      <c r="X67" s="19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3"/>
      <c r="K68" s="19"/>
      <c r="L68" s="22"/>
      <c r="M68" s="22"/>
      <c r="N68" s="22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3"/>
      <c r="K69" s="19"/>
      <c r="L69" s="22"/>
      <c r="M69" s="19"/>
      <c r="N69" s="22"/>
      <c r="P69" s="19"/>
      <c r="Q69" s="19"/>
      <c r="R69" s="19"/>
      <c r="S69" s="19"/>
      <c r="T69" s="19"/>
      <c r="U69" s="19"/>
      <c r="V69" s="19"/>
      <c r="W69" s="19"/>
      <c r="X69" s="19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3"/>
      <c r="K70" s="19"/>
      <c r="L70" s="22"/>
      <c r="M70" s="22"/>
      <c r="N70" s="22"/>
      <c r="O70" s="19"/>
      <c r="P70" s="19"/>
      <c r="Q70" s="19"/>
      <c r="R70" s="19"/>
      <c r="S70" s="19"/>
      <c r="T70" s="19"/>
      <c r="U70" s="19"/>
      <c r="V70" s="19"/>
      <c r="W70" s="19"/>
      <c r="X70" s="19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5"/>
      <c r="K71" s="19"/>
      <c r="L71" s="19"/>
      <c r="M71" s="19"/>
      <c r="N71" s="22"/>
      <c r="O71" s="19"/>
      <c r="P71" s="19"/>
      <c r="Q71" s="19"/>
      <c r="R71" s="19"/>
      <c r="S71" s="19"/>
      <c r="T71" s="19"/>
      <c r="U71" s="19"/>
      <c r="V71" s="19"/>
      <c r="W71" s="19"/>
      <c r="X71" s="19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5"/>
      <c r="K72" s="19"/>
      <c r="L72" s="19"/>
      <c r="M72" s="19"/>
      <c r="N72" s="22"/>
      <c r="O72" s="19"/>
      <c r="P72" s="19"/>
      <c r="Q72" s="19"/>
      <c r="R72" s="19"/>
      <c r="S72" s="19"/>
      <c r="T72" s="19"/>
      <c r="U72" s="19"/>
      <c r="V72" s="19"/>
      <c r="W72" s="19"/>
      <c r="X72" s="19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5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5"/>
      <c r="K74" s="19"/>
      <c r="L74" s="19"/>
      <c r="M74" s="19"/>
      <c r="N74" s="22"/>
      <c r="O74" s="19"/>
      <c r="P74" s="19"/>
      <c r="Q74" s="19"/>
      <c r="R74" s="19"/>
      <c r="S74" s="19"/>
      <c r="T74" s="19"/>
      <c r="U74" s="19"/>
      <c r="V74" s="19"/>
      <c r="W74" s="19"/>
      <c r="X74" s="19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5"/>
      <c r="K75" s="19"/>
      <c r="L75" s="19"/>
      <c r="M75" s="19"/>
      <c r="N75" s="22"/>
      <c r="O75" s="19"/>
      <c r="P75" s="19"/>
      <c r="Q75" s="19"/>
      <c r="R75" s="19"/>
      <c r="S75" s="19"/>
      <c r="T75" s="19"/>
      <c r="U75" s="19"/>
      <c r="V75" s="19"/>
      <c r="W75" s="19"/>
      <c r="X75" s="19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5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5"/>
      <c r="K77" s="19"/>
      <c r="L77" s="19"/>
      <c r="M77" s="19"/>
      <c r="N77" s="22"/>
      <c r="O77" s="19"/>
      <c r="P77" s="19"/>
      <c r="Q77" s="19"/>
      <c r="R77" s="19"/>
      <c r="S77" s="19"/>
      <c r="T77" s="19"/>
      <c r="U77" s="19"/>
      <c r="V77" s="19"/>
      <c r="W77" s="19"/>
      <c r="X77" s="19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5"/>
      <c r="K78" s="19"/>
      <c r="L78" s="19"/>
      <c r="M78" s="19"/>
      <c r="N78" s="19"/>
      <c r="P78" s="19"/>
      <c r="Q78" s="19"/>
      <c r="R78" s="19"/>
      <c r="S78" s="19"/>
      <c r="T78" s="19"/>
      <c r="U78" s="19"/>
      <c r="V78" s="19"/>
      <c r="W78" s="19"/>
      <c r="X78" s="19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5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5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5"/>
      <c r="K81" s="19"/>
      <c r="L81" s="19"/>
      <c r="M81" s="19"/>
      <c r="N81" s="22"/>
      <c r="P81" s="19"/>
      <c r="Q81" s="19"/>
      <c r="R81" s="19"/>
      <c r="S81" s="19"/>
      <c r="T81" s="19"/>
      <c r="U81" s="19"/>
      <c r="V81" s="19"/>
      <c r="W81" s="19"/>
      <c r="X81" s="19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</row>
    <row r="982">
      <c r="A982" s="17"/>
      <c r="B982" s="17"/>
      <c r="C982" s="17"/>
      <c r="D982" s="17"/>
      <c r="E982" s="17"/>
      <c r="F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</row>
    <row r="983">
      <c r="A983" s="17"/>
      <c r="B983" s="17"/>
      <c r="C983" s="17"/>
      <c r="D983" s="17"/>
      <c r="E983" s="17"/>
      <c r="F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</row>
    <row r="984">
      <c r="A984" s="17"/>
      <c r="B984" s="17"/>
      <c r="C984" s="17"/>
      <c r="D984" s="17"/>
      <c r="E984" s="17"/>
      <c r="F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</row>
    <row r="985">
      <c r="A985" s="17"/>
      <c r="B985" s="17"/>
      <c r="C985" s="17"/>
      <c r="D985" s="17"/>
      <c r="E985" s="17"/>
      <c r="F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</row>
    <row r="986">
      <c r="A986" s="17"/>
      <c r="B986" s="17"/>
      <c r="C986" s="17"/>
      <c r="D986" s="17"/>
      <c r="E986" s="17"/>
      <c r="F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</row>
    <row r="987">
      <c r="A987" s="17"/>
      <c r="B987" s="17"/>
      <c r="C987" s="17"/>
      <c r="D987" s="17"/>
      <c r="E987" s="17"/>
      <c r="F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</row>
    <row r="988">
      <c r="A988" s="17"/>
      <c r="B988" s="17"/>
      <c r="C988" s="17"/>
      <c r="D988" s="17"/>
      <c r="E988" s="17"/>
      <c r="F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</row>
    <row r="989">
      <c r="A989" s="17"/>
      <c r="B989" s="17"/>
      <c r="C989" s="17"/>
      <c r="D989" s="17"/>
      <c r="E989" s="17"/>
      <c r="F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</row>
    <row r="990">
      <c r="A990" s="17"/>
      <c r="B990" s="17"/>
      <c r="C990" s="17"/>
      <c r="D990" s="17"/>
      <c r="E990" s="17"/>
      <c r="F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</row>
    <row r="991">
      <c r="A991" s="17"/>
      <c r="B991" s="17"/>
      <c r="C991" s="17"/>
      <c r="D991" s="17"/>
      <c r="E991" s="17"/>
      <c r="F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</row>
    <row r="992">
      <c r="A992" s="17"/>
      <c r="B992" s="17"/>
      <c r="C992" s="17"/>
      <c r="D992" s="17"/>
      <c r="E992" s="17"/>
      <c r="F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</row>
    <row r="993">
      <c r="A993" s="17"/>
      <c r="B993" s="17"/>
      <c r="C993" s="17"/>
      <c r="D993" s="17"/>
      <c r="E993" s="17"/>
      <c r="F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</row>
    <row r="994">
      <c r="A994" s="17"/>
      <c r="B994" s="17"/>
      <c r="C994" s="17"/>
      <c r="D994" s="17"/>
      <c r="E994" s="17"/>
      <c r="F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</row>
    <row r="995">
      <c r="A995" s="17"/>
      <c r="B995" s="17"/>
      <c r="C995" s="17"/>
      <c r="D995" s="17"/>
      <c r="E995" s="17"/>
      <c r="F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</row>
    <row r="996">
      <c r="A996" s="17"/>
      <c r="B996" s="17"/>
      <c r="C996" s="17"/>
      <c r="D996" s="17"/>
      <c r="E996" s="17"/>
      <c r="F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</row>
    <row r="997">
      <c r="A997" s="17"/>
      <c r="B997" s="17"/>
      <c r="C997" s="17"/>
      <c r="D997" s="17"/>
      <c r="E997" s="17"/>
      <c r="F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</row>
    <row r="998">
      <c r="A998" s="17"/>
      <c r="B998" s="17"/>
      <c r="C998" s="17"/>
      <c r="D998" s="17"/>
      <c r="E998" s="17"/>
      <c r="F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</row>
    <row r="999">
      <c r="A999" s="17"/>
      <c r="B999" s="17"/>
      <c r="C999" s="17"/>
      <c r="D999" s="17"/>
      <c r="E999" s="17"/>
      <c r="F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</row>
    <row r="1000">
      <c r="A1000" s="17"/>
      <c r="B1000" s="17"/>
      <c r="C1000" s="17"/>
      <c r="D1000" s="17"/>
      <c r="E1000" s="17"/>
      <c r="F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</row>
  </sheetData>
  <mergeCells count="2">
    <mergeCell ref="A1:C1"/>
    <mergeCell ref="D1:R1"/>
  </mergeCells>
  <conditionalFormatting sqref="A1:A32 C33:C52 A53:A1000 J62:J81">
    <cfRule type="notContainsBlanks" dxfId="0" priority="1">
      <formula>LEN(TRIM(A1))&gt;0</formula>
    </cfRule>
  </conditionalFormatting>
  <conditionalFormatting sqref="J33:J52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" width="12.63"/>
    <col customWidth="1" min="3" max="3" width="18.13"/>
    <col customWidth="1" min="4" max="18" width="12.63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8"/>
      <c r="S1" s="17"/>
      <c r="T1" s="17"/>
      <c r="U1" s="17"/>
      <c r="V1" s="17"/>
      <c r="W1" s="17"/>
      <c r="X1" s="17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49</v>
      </c>
      <c r="M2" s="10"/>
      <c r="N2" s="10"/>
      <c r="O2" s="10"/>
      <c r="P2" s="10"/>
      <c r="Q2" s="10"/>
      <c r="R2" s="10"/>
      <c r="S2" s="17"/>
      <c r="T2" s="17"/>
      <c r="U2" s="17"/>
      <c r="V2" s="17"/>
      <c r="W2" s="17"/>
      <c r="X2" s="17"/>
    </row>
    <row r="3">
      <c r="A3" s="3" t="s">
        <v>3</v>
      </c>
      <c r="B3" s="5" t="s">
        <v>50</v>
      </c>
      <c r="C3" s="11" t="s">
        <v>40</v>
      </c>
      <c r="D3" s="14">
        <v>-3.07041813565462</v>
      </c>
      <c r="E3" s="5">
        <v>-3.10815020413461</v>
      </c>
      <c r="F3" s="5">
        <v>-3.08107887865316</v>
      </c>
      <c r="G3" s="5">
        <v>-1622.70345449975</v>
      </c>
      <c r="H3" s="5">
        <v>-1622.72211037467</v>
      </c>
      <c r="I3" s="5">
        <v>-1622.73116871075</v>
      </c>
      <c r="J3" s="3"/>
      <c r="K3" s="12"/>
      <c r="L3" s="12"/>
      <c r="M3" s="14"/>
      <c r="N3" s="14"/>
      <c r="O3" s="14"/>
      <c r="P3" s="12"/>
      <c r="Q3" s="12"/>
      <c r="R3" s="12"/>
      <c r="S3" s="19"/>
      <c r="T3" s="17"/>
      <c r="U3" s="17"/>
      <c r="V3" s="17"/>
      <c r="W3" s="17"/>
      <c r="X3" s="17"/>
    </row>
    <row r="4">
      <c r="A4" s="3" t="s">
        <v>4</v>
      </c>
      <c r="B4" s="5" t="s">
        <v>50</v>
      </c>
      <c r="C4" s="11" t="s">
        <v>40</v>
      </c>
      <c r="D4" s="14">
        <v>-5.36284641381021</v>
      </c>
      <c r="E4" s="5">
        <v>-5.38185592632689</v>
      </c>
      <c r="F4" s="5">
        <v>-5.42144462356398</v>
      </c>
      <c r="G4" s="5">
        <v>-2524.29291731586</v>
      </c>
      <c r="H4" s="5">
        <v>-2524.27409964374</v>
      </c>
      <c r="I4" s="5">
        <v>-2524.30053740533</v>
      </c>
      <c r="J4" s="3"/>
      <c r="K4" s="12"/>
      <c r="L4" s="12"/>
      <c r="M4" s="14"/>
      <c r="N4" s="14"/>
      <c r="O4" s="14"/>
      <c r="P4" s="12"/>
      <c r="Q4" s="12"/>
      <c r="R4" s="12"/>
      <c r="S4" s="19"/>
      <c r="T4" s="17"/>
      <c r="U4" s="17"/>
      <c r="V4" s="17"/>
      <c r="W4" s="17"/>
      <c r="X4" s="17"/>
    </row>
    <row r="5">
      <c r="A5" s="3" t="s">
        <v>5</v>
      </c>
      <c r="B5" s="5" t="s">
        <v>50</v>
      </c>
      <c r="C5" s="11" t="s">
        <v>40</v>
      </c>
      <c r="D5" s="14">
        <v>-3.89608574394134</v>
      </c>
      <c r="E5" s="5">
        <v>-3.94773318539458</v>
      </c>
      <c r="F5" s="5">
        <v>-3.9919524826212</v>
      </c>
      <c r="G5" s="5">
        <v>-1390.1259241371</v>
      </c>
      <c r="H5" s="5">
        <v>-1390.12321630717</v>
      </c>
      <c r="I5" s="5">
        <v>-1390.11903435439</v>
      </c>
      <c r="J5" s="12"/>
      <c r="K5" s="12"/>
      <c r="L5" s="12"/>
      <c r="M5" s="14"/>
      <c r="N5" s="14"/>
      <c r="O5" s="14"/>
      <c r="P5" s="14"/>
      <c r="Q5" s="14"/>
      <c r="R5" s="12"/>
      <c r="S5" s="19"/>
      <c r="T5" s="17"/>
      <c r="U5" s="17"/>
      <c r="V5" s="17"/>
      <c r="W5" s="17"/>
      <c r="X5" s="17"/>
    </row>
    <row r="6">
      <c r="A6" s="3" t="s">
        <v>6</v>
      </c>
      <c r="B6" s="5" t="s">
        <v>50</v>
      </c>
      <c r="C6" s="11" t="s">
        <v>40</v>
      </c>
      <c r="D6" s="14">
        <v>-7.22036506823298</v>
      </c>
      <c r="E6" s="5">
        <v>-7.23445415129937</v>
      </c>
      <c r="F6" s="5">
        <v>-7.24662920809391</v>
      </c>
      <c r="G6" s="5">
        <v>-2196.96938144899</v>
      </c>
      <c r="H6" s="5">
        <v>-2196.9482309554</v>
      </c>
      <c r="I6" s="5">
        <v>-2196.95054817957</v>
      </c>
      <c r="J6" s="3"/>
      <c r="K6" s="12"/>
      <c r="L6" s="12"/>
      <c r="M6" s="14"/>
      <c r="N6" s="14"/>
      <c r="O6" s="14"/>
      <c r="P6" s="12"/>
      <c r="Q6" s="12"/>
      <c r="R6" s="12"/>
      <c r="S6" s="19"/>
      <c r="T6" s="17"/>
      <c r="U6" s="17"/>
      <c r="V6" s="17"/>
      <c r="W6" s="17"/>
      <c r="X6" s="17"/>
    </row>
    <row r="7">
      <c r="A7" s="3" t="s">
        <v>7</v>
      </c>
      <c r="B7" s="5" t="s">
        <v>50</v>
      </c>
      <c r="C7" s="11" t="s">
        <v>40</v>
      </c>
      <c r="D7" s="14">
        <v>0.913586243680088</v>
      </c>
      <c r="E7" s="5">
        <v>0.896815637683563</v>
      </c>
      <c r="F7" s="5">
        <v>0.88440854452385</v>
      </c>
      <c r="G7" s="5">
        <v>-231.619755159525</v>
      </c>
      <c r="H7" s="5">
        <v>-231.61978877162</v>
      </c>
      <c r="I7" s="5">
        <v>-231.614160505158</v>
      </c>
      <c r="J7" s="3"/>
      <c r="K7" s="12"/>
      <c r="L7" s="12"/>
      <c r="M7" s="14"/>
      <c r="N7" s="21"/>
      <c r="O7" s="14"/>
      <c r="P7" s="12"/>
      <c r="Q7" s="12"/>
      <c r="R7" s="12"/>
      <c r="S7" s="19"/>
      <c r="T7" s="17"/>
      <c r="U7" s="17"/>
      <c r="V7" s="17"/>
      <c r="W7" s="17"/>
      <c r="X7" s="17"/>
    </row>
    <row r="8">
      <c r="A8" s="3" t="s">
        <v>8</v>
      </c>
      <c r="B8" s="5" t="s">
        <v>50</v>
      </c>
      <c r="C8" s="11" t="s">
        <v>40</v>
      </c>
      <c r="D8" s="14">
        <v>-0.809091952819808</v>
      </c>
      <c r="E8" s="5">
        <v>-0.798845473978897</v>
      </c>
      <c r="F8" s="5">
        <v>-0.789351471613429</v>
      </c>
      <c r="G8" s="5">
        <v>-520.366857782362</v>
      </c>
      <c r="H8" s="5">
        <v>-520.371288518826</v>
      </c>
      <c r="I8" s="5">
        <v>-520.355545910994</v>
      </c>
      <c r="J8" s="3"/>
      <c r="K8" s="12"/>
      <c r="L8" s="12"/>
      <c r="M8" s="14"/>
      <c r="N8" s="21"/>
      <c r="O8" s="14"/>
      <c r="P8" s="12"/>
      <c r="Q8" s="12"/>
      <c r="R8" s="12"/>
      <c r="S8" s="19"/>
      <c r="T8" s="17"/>
      <c r="U8" s="17"/>
      <c r="V8" s="17"/>
      <c r="W8" s="17"/>
      <c r="X8" s="17"/>
    </row>
    <row r="9">
      <c r="A9" s="3" t="s">
        <v>9</v>
      </c>
      <c r="B9" s="5" t="s">
        <v>50</v>
      </c>
      <c r="C9" s="11" t="s">
        <v>40</v>
      </c>
      <c r="D9" s="14">
        <v>-5.74232113889538</v>
      </c>
      <c r="E9" s="5">
        <v>-5.78229666799106</v>
      </c>
      <c r="F9" s="5">
        <v>-5.74017580057662</v>
      </c>
      <c r="G9" s="5">
        <v>-1778.87288768431</v>
      </c>
      <c r="H9" s="5">
        <v>-1778.88800976514</v>
      </c>
      <c r="I9" s="5">
        <v>-1778.89108958242</v>
      </c>
      <c r="J9" s="3"/>
      <c r="K9" s="12"/>
      <c r="L9" s="12"/>
      <c r="M9" s="14"/>
      <c r="N9" s="14"/>
      <c r="O9" s="14"/>
      <c r="P9" s="12"/>
      <c r="Q9" s="12"/>
      <c r="R9" s="12"/>
      <c r="S9" s="19"/>
      <c r="T9" s="17"/>
      <c r="U9" s="17"/>
      <c r="V9" s="17"/>
      <c r="W9" s="17"/>
      <c r="X9" s="17"/>
    </row>
    <row r="10">
      <c r="A10" s="3" t="s">
        <v>10</v>
      </c>
      <c r="B10" s="5" t="s">
        <v>50</v>
      </c>
      <c r="C10" s="11" t="s">
        <v>40</v>
      </c>
      <c r="D10" s="14">
        <v>-2.84672011199445</v>
      </c>
      <c r="E10" s="5">
        <v>-2.83678181765525</v>
      </c>
      <c r="F10" s="5">
        <v>-2.83414299751293</v>
      </c>
      <c r="G10" s="5">
        <v>-760.663608177913</v>
      </c>
      <c r="H10" s="5">
        <v>-760.674895457172</v>
      </c>
      <c r="I10" s="5">
        <v>-760.657270825608</v>
      </c>
      <c r="J10" s="3"/>
      <c r="K10" s="12"/>
      <c r="L10" s="12"/>
      <c r="M10" s="14"/>
      <c r="N10" s="21"/>
      <c r="O10" s="14"/>
      <c r="P10" s="12"/>
      <c r="Q10" s="12"/>
      <c r="R10" s="12"/>
      <c r="S10" s="19"/>
      <c r="T10" s="17"/>
      <c r="U10" s="17"/>
      <c r="V10" s="17"/>
      <c r="W10" s="17"/>
      <c r="X10" s="17"/>
    </row>
    <row r="11">
      <c r="A11" s="3" t="s">
        <v>11</v>
      </c>
      <c r="B11" s="5" t="s">
        <v>50</v>
      </c>
      <c r="C11" s="11" t="s">
        <v>40</v>
      </c>
      <c r="D11" s="14">
        <v>-4.82213642745031</v>
      </c>
      <c r="E11" s="5">
        <v>-4.78505077757789</v>
      </c>
      <c r="F11" s="5">
        <v>-4.80127322128541</v>
      </c>
      <c r="G11" s="5">
        <v>-1393.93380403177</v>
      </c>
      <c r="H11" s="5">
        <v>-1393.97262831784</v>
      </c>
      <c r="I11" s="5">
        <v>-1393.94069959238</v>
      </c>
      <c r="J11" s="3"/>
      <c r="K11" s="12"/>
      <c r="L11" s="12"/>
      <c r="M11" s="14"/>
      <c r="N11" s="14"/>
      <c r="O11" s="14"/>
      <c r="P11" s="12"/>
      <c r="Q11" s="12"/>
      <c r="R11" s="12"/>
      <c r="S11" s="19"/>
      <c r="T11" s="17"/>
      <c r="U11" s="17"/>
      <c r="V11" s="17"/>
      <c r="W11" s="17"/>
      <c r="X11" s="17"/>
    </row>
    <row r="12">
      <c r="A12" s="5" t="s">
        <v>12</v>
      </c>
      <c r="B12" s="5" t="s">
        <v>50</v>
      </c>
      <c r="C12" s="11" t="s">
        <v>40</v>
      </c>
      <c r="D12" s="14">
        <v>-5.83455520325894</v>
      </c>
      <c r="E12" s="5">
        <v>-5.67153932308002</v>
      </c>
      <c r="F12" s="5">
        <v>-5.77461041976173</v>
      </c>
      <c r="G12" s="5">
        <v>-1986.21027203013</v>
      </c>
      <c r="H12" s="5">
        <v>-1986.20627106504</v>
      </c>
      <c r="I12" s="5">
        <v>-1986.21987555197</v>
      </c>
      <c r="J12" s="5"/>
      <c r="K12" s="12"/>
      <c r="L12" s="12"/>
      <c r="M12" s="14"/>
      <c r="N12" s="14"/>
      <c r="O12" s="14"/>
      <c r="P12" s="12"/>
      <c r="Q12" s="12"/>
      <c r="R12" s="12"/>
      <c r="S12" s="19"/>
      <c r="T12" s="17"/>
      <c r="U12" s="17"/>
      <c r="V12" s="17"/>
      <c r="W12" s="17"/>
      <c r="X12" s="17"/>
    </row>
    <row r="13">
      <c r="A13" s="5" t="s">
        <v>13</v>
      </c>
      <c r="B13" s="5" t="s">
        <v>50</v>
      </c>
      <c r="C13" s="11" t="s">
        <v>40</v>
      </c>
      <c r="D13" s="14">
        <v>-7.4613088466654</v>
      </c>
      <c r="E13" s="5">
        <v>-7.35161962685394</v>
      </c>
      <c r="F13" s="5">
        <v>-7.52926530119178</v>
      </c>
      <c r="G13" s="5">
        <v>-2068.80761106158</v>
      </c>
      <c r="H13" s="5">
        <v>-2068.81231537227</v>
      </c>
      <c r="I13" s="5">
        <v>-2068.804128456</v>
      </c>
      <c r="J13" s="5"/>
      <c r="K13" s="12"/>
      <c r="L13" s="12"/>
      <c r="M13" s="14"/>
      <c r="N13" s="14"/>
      <c r="O13" s="14"/>
      <c r="P13" s="12"/>
      <c r="Q13" s="12"/>
      <c r="R13" s="12"/>
      <c r="S13" s="19"/>
      <c r="T13" s="17"/>
      <c r="U13" s="17"/>
      <c r="V13" s="17"/>
      <c r="W13" s="17"/>
      <c r="X13" s="17"/>
    </row>
    <row r="14">
      <c r="A14" s="5" t="s">
        <v>14</v>
      </c>
      <c r="B14" s="5" t="s">
        <v>50</v>
      </c>
      <c r="C14" s="11" t="s">
        <v>40</v>
      </c>
      <c r="D14" s="14">
        <v>-3.98408912060422</v>
      </c>
      <c r="E14" s="5">
        <v>-3.95767903426877</v>
      </c>
      <c r="F14" s="5">
        <v>-4.0253697011479</v>
      </c>
      <c r="G14" s="5">
        <v>-1576.78998773949</v>
      </c>
      <c r="H14" s="5">
        <v>-1576.87356487433</v>
      </c>
      <c r="I14" s="5">
        <v>-1576.86803475104</v>
      </c>
      <c r="J14" s="5"/>
      <c r="K14" s="12"/>
      <c r="L14" s="12"/>
      <c r="M14" s="14"/>
      <c r="N14" s="14"/>
      <c r="O14" s="14"/>
      <c r="P14" s="12"/>
      <c r="Q14" s="12"/>
      <c r="R14" s="12"/>
      <c r="S14" s="19"/>
      <c r="T14" s="17"/>
      <c r="U14" s="17"/>
      <c r="V14" s="17"/>
      <c r="W14" s="17"/>
      <c r="X14" s="17"/>
    </row>
    <row r="15">
      <c r="A15" s="5" t="s">
        <v>15</v>
      </c>
      <c r="B15" s="5" t="s">
        <v>50</v>
      </c>
      <c r="C15" s="11" t="s">
        <v>40</v>
      </c>
      <c r="D15" s="14">
        <v>-6.3162301333555</v>
      </c>
      <c r="E15" s="5">
        <v>-6.40256188519406</v>
      </c>
      <c r="F15" s="5">
        <v>-6.31021185032914</v>
      </c>
      <c r="G15" s="5">
        <v>-2076.10882243555</v>
      </c>
      <c r="H15" s="5">
        <v>-2076.07377279508</v>
      </c>
      <c r="I15" s="5">
        <v>-2076.09715110594</v>
      </c>
      <c r="J15" s="5"/>
      <c r="K15" s="12"/>
      <c r="L15" s="12"/>
      <c r="M15" s="14"/>
      <c r="N15" s="14"/>
      <c r="O15" s="14"/>
      <c r="P15" s="12"/>
      <c r="Q15" s="12"/>
      <c r="R15" s="12"/>
      <c r="S15" s="19"/>
      <c r="T15" s="17"/>
      <c r="U15" s="17"/>
      <c r="V15" s="17"/>
      <c r="W15" s="17"/>
      <c r="X15" s="17"/>
    </row>
    <row r="16">
      <c r="A16" s="5" t="s">
        <v>16</v>
      </c>
      <c r="B16" s="5" t="s">
        <v>50</v>
      </c>
      <c r="C16" s="11" t="s">
        <v>40</v>
      </c>
      <c r="D16" s="14">
        <v>-6.80082653803699</v>
      </c>
      <c r="E16" s="5">
        <v>-6.84248263936744</v>
      </c>
      <c r="F16" s="5">
        <v>-6.79821498141512</v>
      </c>
      <c r="G16" s="5">
        <v>-1752.53802366938</v>
      </c>
      <c r="H16" s="5">
        <v>-1752.5269618749</v>
      </c>
      <c r="I16" s="5">
        <v>-1752.58423725622</v>
      </c>
      <c r="J16" s="5"/>
      <c r="K16" s="12"/>
      <c r="L16" s="12"/>
      <c r="M16" s="14"/>
      <c r="N16" s="14"/>
      <c r="O16" s="14"/>
      <c r="P16" s="12"/>
      <c r="Q16" s="12"/>
      <c r="R16" s="12"/>
      <c r="S16" s="19"/>
      <c r="T16" s="17"/>
      <c r="U16" s="17"/>
      <c r="V16" s="17"/>
      <c r="W16" s="17"/>
      <c r="X16" s="17"/>
    </row>
    <row r="17">
      <c r="A17" s="5" t="s">
        <v>17</v>
      </c>
      <c r="B17" s="5" t="s">
        <v>50</v>
      </c>
      <c r="C17" s="11" t="s">
        <v>40</v>
      </c>
      <c r="D17" s="14">
        <v>-2.50423671670413</v>
      </c>
      <c r="E17" s="5">
        <v>-2.51537568427185</v>
      </c>
      <c r="F17" s="5">
        <v>-2.4873475996902</v>
      </c>
      <c r="G17" s="5">
        <v>-613.693195330232</v>
      </c>
      <c r="H17" s="5">
        <v>-613.688103109316</v>
      </c>
      <c r="I17" s="5">
        <v>-613.686067367066</v>
      </c>
      <c r="J17" s="5"/>
      <c r="K17" s="12"/>
      <c r="L17" s="12"/>
      <c r="M17" s="14"/>
      <c r="N17" s="21"/>
      <c r="O17" s="14"/>
      <c r="P17" s="12"/>
      <c r="Q17" s="12"/>
      <c r="R17" s="12"/>
      <c r="S17" s="19"/>
      <c r="T17" s="17"/>
      <c r="U17" s="17"/>
      <c r="V17" s="17"/>
      <c r="W17" s="17"/>
      <c r="X17" s="17"/>
    </row>
    <row r="18">
      <c r="A18" s="5" t="s">
        <v>18</v>
      </c>
      <c r="B18" s="5" t="s">
        <v>50</v>
      </c>
      <c r="C18" s="11" t="s">
        <v>40</v>
      </c>
      <c r="D18" s="14">
        <v>-4.31210505116541</v>
      </c>
      <c r="E18" s="5">
        <v>-4.38852425138651</v>
      </c>
      <c r="F18" s="5">
        <v>-4.39060416261251</v>
      </c>
      <c r="G18" s="5">
        <v>-1241.96847825779</v>
      </c>
      <c r="H18" s="5">
        <v>-1241.98573642706</v>
      </c>
      <c r="I18" s="3">
        <v>-1241.97959323132</v>
      </c>
      <c r="J18" s="5"/>
      <c r="K18" s="12"/>
      <c r="L18" s="12"/>
      <c r="M18" s="14"/>
      <c r="N18" s="14"/>
      <c r="O18" s="14"/>
      <c r="P18" s="12"/>
      <c r="Q18" s="12"/>
      <c r="R18" s="12"/>
      <c r="S18" s="19"/>
      <c r="T18" s="17"/>
      <c r="U18" s="17"/>
      <c r="V18" s="17"/>
      <c r="W18" s="17"/>
      <c r="X18" s="17"/>
    </row>
    <row r="19">
      <c r="A19" s="5" t="s">
        <v>19</v>
      </c>
      <c r="B19" s="5" t="s">
        <v>50</v>
      </c>
      <c r="C19" s="11" t="s">
        <v>40</v>
      </c>
      <c r="D19" s="14">
        <v>-5.14880692611077</v>
      </c>
      <c r="E19" s="5">
        <v>-5.12510781055498</v>
      </c>
      <c r="F19" s="5">
        <v>-5.09636306467419</v>
      </c>
      <c r="G19" s="5">
        <v>-1535.59425022233</v>
      </c>
      <c r="H19" s="5">
        <v>-1535.56882055473</v>
      </c>
      <c r="I19" s="5">
        <v>-1535.56478311044</v>
      </c>
      <c r="J19" s="5"/>
      <c r="K19" s="12"/>
      <c r="L19" s="12"/>
      <c r="M19" s="14"/>
      <c r="N19" s="14"/>
      <c r="O19" s="14"/>
      <c r="P19" s="12"/>
      <c r="Q19" s="12"/>
      <c r="R19" s="12"/>
      <c r="S19" s="19"/>
      <c r="T19" s="17"/>
      <c r="U19" s="17"/>
      <c r="V19" s="17"/>
      <c r="W19" s="17"/>
      <c r="X19" s="17"/>
    </row>
    <row r="20">
      <c r="A20" s="5" t="s">
        <v>20</v>
      </c>
      <c r="B20" s="5" t="s">
        <v>50</v>
      </c>
      <c r="C20" s="11" t="s">
        <v>40</v>
      </c>
      <c r="D20" s="14">
        <v>-6.97549029686068</v>
      </c>
      <c r="E20" s="5">
        <v>-6.99325278694465</v>
      </c>
      <c r="F20" s="5">
        <v>-6.97838836419126</v>
      </c>
      <c r="G20" s="5">
        <v>-1813.46646219392</v>
      </c>
      <c r="H20" s="5">
        <v>-1813.45874378701</v>
      </c>
      <c r="I20" s="5">
        <v>-1813.47705605625</v>
      </c>
      <c r="J20" s="5"/>
      <c r="K20" s="12"/>
      <c r="L20" s="12"/>
      <c r="M20" s="14"/>
      <c r="N20" s="14"/>
      <c r="O20" s="14"/>
      <c r="P20" s="12"/>
      <c r="Q20" s="12"/>
      <c r="R20" s="12"/>
      <c r="S20" s="19"/>
      <c r="T20" s="17"/>
      <c r="U20" s="17"/>
      <c r="V20" s="17"/>
      <c r="W20" s="17"/>
      <c r="X20" s="17"/>
    </row>
    <row r="21">
      <c r="A21" s="5" t="s">
        <v>21</v>
      </c>
      <c r="B21" s="5" t="s">
        <v>50</v>
      </c>
      <c r="C21" s="11" t="s">
        <v>40</v>
      </c>
      <c r="D21" s="14">
        <v>-2.75470598090847</v>
      </c>
      <c r="E21" s="5">
        <v>-2.81052213781279</v>
      </c>
      <c r="F21" s="5">
        <v>-2.84499579222356</v>
      </c>
      <c r="G21" s="5">
        <v>-1082.53427341206</v>
      </c>
      <c r="H21" s="5">
        <v>-1082.50180865087</v>
      </c>
      <c r="I21" s="5">
        <v>-1082.57571943665</v>
      </c>
      <c r="J21" s="5"/>
      <c r="K21" s="12"/>
      <c r="L21" s="12"/>
      <c r="M21" s="14"/>
      <c r="N21" s="21"/>
      <c r="O21" s="14"/>
      <c r="P21" s="12"/>
      <c r="Q21" s="12"/>
      <c r="R21" s="12"/>
      <c r="S21" s="19"/>
      <c r="T21" s="17"/>
      <c r="U21" s="17"/>
      <c r="V21" s="17"/>
      <c r="W21" s="17"/>
      <c r="X21" s="17"/>
    </row>
    <row r="22">
      <c r="A22" s="5" t="s">
        <v>22</v>
      </c>
      <c r="B22" s="5" t="s">
        <v>50</v>
      </c>
      <c r="C22" s="11" t="s">
        <v>40</v>
      </c>
      <c r="D22" s="14">
        <v>-5.89792823814243</v>
      </c>
      <c r="E22" s="5">
        <v>-5.85824495324839</v>
      </c>
      <c r="F22" s="5">
        <v>-5.8870936817229</v>
      </c>
      <c r="G22" s="5">
        <v>-1744.04966470717</v>
      </c>
      <c r="H22" s="5">
        <v>-1744.04737563011</v>
      </c>
      <c r="I22" s="3">
        <v>-1744.04611080346</v>
      </c>
      <c r="J22" s="5"/>
      <c r="K22" s="12"/>
      <c r="L22" s="12"/>
      <c r="M22" s="14"/>
      <c r="N22" s="14"/>
      <c r="O22" s="14"/>
      <c r="P22" s="12"/>
      <c r="Q22" s="12"/>
      <c r="R22" s="12"/>
      <c r="S22" s="19"/>
      <c r="T22" s="17"/>
      <c r="U22" s="17"/>
      <c r="V22" s="17"/>
      <c r="W22" s="17"/>
      <c r="X22" s="17"/>
    </row>
    <row r="23">
      <c r="A23" s="17"/>
      <c r="B23" s="17"/>
      <c r="C23" s="17"/>
      <c r="D23" s="19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P32" s="17"/>
      <c r="Q32" s="17"/>
      <c r="R32" s="17"/>
      <c r="S32" s="17"/>
      <c r="T32" s="17"/>
      <c r="U32" s="17"/>
      <c r="V32" s="17"/>
      <c r="W32" s="17"/>
      <c r="X32" s="17"/>
    </row>
    <row r="33">
      <c r="A33" s="19"/>
      <c r="B33" s="19"/>
      <c r="C33" s="3"/>
      <c r="D33" s="17"/>
      <c r="E33" s="17"/>
      <c r="F33" s="17"/>
      <c r="I33" s="17"/>
      <c r="J33" s="17"/>
      <c r="K33" s="17"/>
      <c r="M33" s="14"/>
      <c r="N33" s="22"/>
      <c r="O33" s="17"/>
      <c r="P33" s="17"/>
      <c r="Q33" s="19"/>
      <c r="R33" s="17"/>
      <c r="S33" s="19"/>
      <c r="T33" s="17"/>
      <c r="U33" s="17"/>
      <c r="V33" s="17"/>
      <c r="W33" s="17"/>
      <c r="X33" s="17"/>
    </row>
    <row r="34">
      <c r="A34" s="19"/>
      <c r="B34" s="19"/>
      <c r="C34" s="3"/>
      <c r="D34" s="17"/>
      <c r="E34" s="17"/>
      <c r="F34" s="17"/>
      <c r="I34" s="17"/>
      <c r="J34" s="17"/>
      <c r="K34" s="17"/>
      <c r="M34" s="14"/>
      <c r="N34" s="22"/>
      <c r="P34" s="17"/>
      <c r="Q34" s="19"/>
      <c r="R34" s="17"/>
      <c r="S34" s="19"/>
      <c r="T34" s="17"/>
      <c r="U34" s="17"/>
      <c r="V34" s="17"/>
      <c r="W34" s="17"/>
      <c r="X34" s="17"/>
    </row>
    <row r="35">
      <c r="A35" s="19"/>
      <c r="B35" s="19"/>
      <c r="C35" s="3"/>
      <c r="D35" s="17"/>
      <c r="E35" s="17"/>
      <c r="F35" s="17"/>
      <c r="I35" s="17"/>
      <c r="J35" s="17"/>
      <c r="K35" s="17"/>
      <c r="M35" s="14"/>
      <c r="N35" s="22"/>
      <c r="O35" s="17"/>
      <c r="P35" s="19"/>
      <c r="Q35" s="19"/>
      <c r="R35" s="17"/>
      <c r="S35" s="19"/>
      <c r="T35" s="17"/>
      <c r="U35" s="17"/>
      <c r="V35" s="17"/>
      <c r="W35" s="17"/>
      <c r="X35" s="17"/>
    </row>
    <row r="36">
      <c r="A36" s="19"/>
      <c r="B36" s="19"/>
      <c r="C36" s="3"/>
      <c r="D36" s="17"/>
      <c r="E36" s="17"/>
      <c r="F36" s="17"/>
      <c r="I36" s="17"/>
      <c r="J36" s="17"/>
      <c r="K36" s="17"/>
      <c r="M36" s="14"/>
      <c r="N36" s="22"/>
      <c r="P36" s="17"/>
      <c r="Q36" s="19"/>
      <c r="R36" s="17"/>
      <c r="S36" s="19"/>
      <c r="T36" s="17"/>
      <c r="U36" s="17"/>
      <c r="V36" s="17"/>
      <c r="W36" s="17"/>
      <c r="X36" s="17"/>
    </row>
    <row r="37">
      <c r="A37" s="19"/>
      <c r="B37" s="19"/>
      <c r="C37" s="3"/>
      <c r="D37" s="17"/>
      <c r="E37" s="17"/>
      <c r="F37" s="17"/>
      <c r="I37" s="17"/>
      <c r="J37" s="17"/>
      <c r="K37" s="17"/>
      <c r="M37" s="14"/>
      <c r="N37" s="22"/>
      <c r="O37" s="17"/>
      <c r="P37" s="17"/>
      <c r="Q37" s="19"/>
      <c r="R37" s="17"/>
      <c r="S37" s="19"/>
      <c r="T37" s="17"/>
      <c r="U37" s="17"/>
      <c r="V37" s="17"/>
      <c r="W37" s="17"/>
      <c r="X37" s="17"/>
    </row>
    <row r="38">
      <c r="A38" s="19"/>
      <c r="B38" s="19"/>
      <c r="C38" s="3"/>
      <c r="D38" s="17"/>
      <c r="E38" s="17"/>
      <c r="F38" s="17"/>
      <c r="I38" s="17"/>
      <c r="J38" s="17"/>
      <c r="K38" s="17"/>
      <c r="M38" s="14"/>
      <c r="N38" s="22"/>
      <c r="P38" s="17"/>
      <c r="Q38" s="19"/>
      <c r="R38" s="17"/>
      <c r="S38" s="19"/>
      <c r="T38" s="17"/>
      <c r="U38" s="17"/>
      <c r="V38" s="17"/>
      <c r="W38" s="17"/>
      <c r="X38" s="17"/>
    </row>
    <row r="39">
      <c r="A39" s="19"/>
      <c r="B39" s="19"/>
      <c r="C39" s="3"/>
      <c r="D39" s="17"/>
      <c r="E39" s="17"/>
      <c r="F39" s="17"/>
      <c r="I39" s="17"/>
      <c r="J39" s="17"/>
      <c r="K39" s="17"/>
      <c r="M39" s="14"/>
      <c r="N39" s="22"/>
      <c r="O39" s="17"/>
      <c r="P39" s="17"/>
      <c r="Q39" s="19"/>
      <c r="R39" s="17"/>
      <c r="S39" s="19"/>
      <c r="T39" s="17"/>
      <c r="U39" s="17"/>
      <c r="V39" s="17"/>
      <c r="W39" s="17"/>
      <c r="X39" s="17"/>
    </row>
    <row r="40">
      <c r="A40" s="19"/>
      <c r="B40" s="19"/>
      <c r="C40" s="3"/>
      <c r="D40" s="17"/>
      <c r="E40" s="17"/>
      <c r="F40" s="17"/>
      <c r="I40" s="17"/>
      <c r="J40" s="17"/>
      <c r="K40" s="17"/>
      <c r="M40" s="14"/>
      <c r="N40" s="22"/>
      <c r="P40" s="17"/>
      <c r="Q40" s="19"/>
      <c r="R40" s="17"/>
      <c r="S40" s="19"/>
      <c r="T40" s="17"/>
      <c r="U40" s="17"/>
      <c r="V40" s="17"/>
      <c r="W40" s="17"/>
      <c r="X40" s="17"/>
    </row>
    <row r="41">
      <c r="A41" s="19"/>
      <c r="B41" s="19"/>
      <c r="C41" s="3"/>
      <c r="D41" s="17"/>
      <c r="E41" s="17"/>
      <c r="F41" s="17"/>
      <c r="I41" s="17"/>
      <c r="J41" s="17"/>
      <c r="K41" s="17"/>
      <c r="M41" s="14"/>
      <c r="N41" s="14"/>
      <c r="O41" s="17"/>
      <c r="P41" s="17"/>
      <c r="Q41" s="19"/>
      <c r="R41" s="17"/>
      <c r="S41" s="19"/>
      <c r="T41" s="17"/>
      <c r="U41" s="17"/>
      <c r="V41" s="17"/>
      <c r="W41" s="17"/>
      <c r="X41" s="17"/>
    </row>
    <row r="42">
      <c r="A42" s="19"/>
      <c r="B42" s="19"/>
      <c r="C42" s="5"/>
      <c r="D42" s="17"/>
      <c r="E42" s="17"/>
      <c r="F42" s="17"/>
      <c r="I42" s="17"/>
      <c r="J42" s="17"/>
      <c r="K42" s="17"/>
      <c r="M42" s="14"/>
      <c r="N42" s="22"/>
      <c r="P42" s="17"/>
      <c r="Q42" s="19"/>
      <c r="R42" s="17"/>
      <c r="S42" s="19"/>
      <c r="T42" s="17"/>
      <c r="U42" s="17"/>
      <c r="V42" s="17"/>
      <c r="W42" s="17"/>
      <c r="X42" s="17"/>
    </row>
    <row r="43">
      <c r="A43" s="19"/>
      <c r="B43" s="19"/>
      <c r="C43" s="5"/>
      <c r="D43" s="17"/>
      <c r="E43" s="17"/>
      <c r="F43" s="17"/>
      <c r="I43" s="17"/>
      <c r="J43" s="17"/>
      <c r="K43" s="17"/>
      <c r="M43" s="14"/>
      <c r="N43" s="22"/>
      <c r="O43" s="17"/>
      <c r="P43" s="17"/>
      <c r="Q43" s="19"/>
      <c r="R43" s="17"/>
      <c r="S43" s="19"/>
      <c r="T43" s="17"/>
      <c r="U43" s="17"/>
      <c r="V43" s="17"/>
      <c r="W43" s="17"/>
      <c r="X43" s="17"/>
    </row>
    <row r="44">
      <c r="A44" s="19"/>
      <c r="B44" s="19"/>
      <c r="C44" s="5"/>
      <c r="D44" s="17"/>
      <c r="E44" s="17"/>
      <c r="F44" s="17"/>
      <c r="I44" s="17"/>
      <c r="J44" s="17"/>
      <c r="K44" s="17"/>
      <c r="M44" s="14"/>
      <c r="N44" s="22"/>
      <c r="P44" s="17"/>
      <c r="Q44" s="19"/>
      <c r="R44" s="17"/>
      <c r="S44" s="19"/>
      <c r="T44" s="17"/>
      <c r="U44" s="17"/>
      <c r="V44" s="17"/>
      <c r="W44" s="17"/>
      <c r="X44" s="17"/>
    </row>
    <row r="45">
      <c r="A45" s="19"/>
      <c r="B45" s="19"/>
      <c r="C45" s="5"/>
      <c r="D45" s="17"/>
      <c r="E45" s="17"/>
      <c r="F45" s="17"/>
      <c r="I45" s="17"/>
      <c r="J45" s="17"/>
      <c r="K45" s="17"/>
      <c r="M45" s="14"/>
      <c r="N45" s="22"/>
      <c r="O45" s="17"/>
      <c r="P45" s="17"/>
      <c r="Q45" s="19"/>
      <c r="R45" s="17"/>
      <c r="S45" s="19"/>
      <c r="T45" s="17"/>
      <c r="U45" s="17"/>
      <c r="V45" s="17"/>
      <c r="W45" s="17"/>
      <c r="X45" s="17"/>
    </row>
    <row r="46">
      <c r="A46" s="19"/>
      <c r="B46" s="19"/>
      <c r="C46" s="5"/>
      <c r="D46" s="17"/>
      <c r="E46" s="17"/>
      <c r="F46" s="17"/>
      <c r="I46" s="17"/>
      <c r="J46" s="17"/>
      <c r="K46" s="17"/>
      <c r="M46" s="14"/>
      <c r="N46" s="22"/>
      <c r="P46" s="17"/>
      <c r="Q46" s="19"/>
      <c r="R46" s="17"/>
      <c r="S46" s="19"/>
      <c r="T46" s="17"/>
      <c r="U46" s="17"/>
      <c r="V46" s="17"/>
      <c r="W46" s="17"/>
      <c r="X46" s="17"/>
    </row>
    <row r="47">
      <c r="A47" s="19"/>
      <c r="B47" s="19"/>
      <c r="C47" s="5"/>
      <c r="D47" s="17"/>
      <c r="E47" s="17"/>
      <c r="F47" s="17"/>
      <c r="I47" s="17"/>
      <c r="J47" s="17"/>
      <c r="K47" s="17"/>
      <c r="M47" s="14"/>
      <c r="N47" s="22"/>
      <c r="O47" s="17"/>
      <c r="P47" s="17"/>
      <c r="Q47" s="19"/>
      <c r="R47" s="17"/>
      <c r="S47" s="19"/>
      <c r="T47" s="17"/>
      <c r="U47" s="17"/>
      <c r="V47" s="17"/>
      <c r="W47" s="17"/>
      <c r="X47" s="17"/>
    </row>
    <row r="48">
      <c r="A48" s="19"/>
      <c r="B48" s="19"/>
      <c r="C48" s="5"/>
      <c r="D48" s="17"/>
      <c r="E48" s="17"/>
      <c r="F48" s="17"/>
      <c r="I48" s="17"/>
      <c r="J48" s="17"/>
      <c r="K48" s="17"/>
      <c r="M48" s="14"/>
      <c r="N48" s="22"/>
      <c r="P48" s="17"/>
      <c r="Q48" s="19"/>
      <c r="R48" s="17"/>
      <c r="S48" s="19"/>
      <c r="T48" s="17"/>
      <c r="U48" s="17"/>
      <c r="V48" s="17"/>
      <c r="W48" s="17"/>
      <c r="X48" s="17"/>
    </row>
    <row r="49">
      <c r="A49" s="19"/>
      <c r="B49" s="19"/>
      <c r="C49" s="5"/>
      <c r="D49" s="17"/>
      <c r="E49" s="17"/>
      <c r="F49" s="17"/>
      <c r="I49" s="17"/>
      <c r="J49" s="17"/>
      <c r="K49" s="17"/>
      <c r="M49" s="14"/>
      <c r="N49" s="22"/>
      <c r="O49" s="17"/>
      <c r="P49" s="17"/>
      <c r="Q49" s="19"/>
      <c r="R49" s="17"/>
      <c r="S49" s="19"/>
      <c r="T49" s="17"/>
      <c r="U49" s="17"/>
      <c r="V49" s="17"/>
      <c r="W49" s="17"/>
      <c r="X49" s="17"/>
    </row>
    <row r="50">
      <c r="A50" s="19"/>
      <c r="B50" s="19"/>
      <c r="C50" s="5"/>
      <c r="D50" s="17"/>
      <c r="E50" s="17"/>
      <c r="F50" s="17"/>
      <c r="I50" s="17"/>
      <c r="J50" s="17"/>
      <c r="K50" s="17"/>
      <c r="M50" s="14"/>
      <c r="N50" s="22"/>
      <c r="P50" s="17"/>
      <c r="Q50" s="19"/>
      <c r="R50" s="17"/>
      <c r="S50" s="19"/>
      <c r="T50" s="17"/>
      <c r="U50" s="17"/>
      <c r="V50" s="17"/>
      <c r="W50" s="17"/>
      <c r="X50" s="17"/>
    </row>
    <row r="51">
      <c r="A51" s="19"/>
      <c r="B51" s="19"/>
      <c r="C51" s="5"/>
      <c r="D51" s="17"/>
      <c r="E51" s="17"/>
      <c r="F51" s="17"/>
      <c r="I51" s="17"/>
      <c r="J51" s="17"/>
      <c r="K51" s="17"/>
      <c r="M51" s="14"/>
      <c r="N51" s="22"/>
      <c r="O51" s="17"/>
      <c r="P51" s="17"/>
      <c r="Q51" s="19"/>
      <c r="R51" s="17"/>
      <c r="S51" s="19"/>
      <c r="T51" s="17"/>
      <c r="U51" s="17"/>
      <c r="V51" s="17"/>
      <c r="W51" s="17"/>
      <c r="X51" s="17"/>
    </row>
    <row r="52">
      <c r="A52" s="19"/>
      <c r="B52" s="19"/>
      <c r="C52" s="5"/>
      <c r="D52" s="17"/>
      <c r="E52" s="17"/>
      <c r="F52" s="17"/>
      <c r="I52" s="17"/>
      <c r="J52" s="17"/>
      <c r="K52" s="17"/>
      <c r="M52" s="14"/>
      <c r="N52" s="14"/>
      <c r="P52" s="17"/>
      <c r="Q52" s="19"/>
      <c r="R52" s="17"/>
      <c r="S52" s="19"/>
      <c r="T52" s="17"/>
      <c r="U52" s="17"/>
      <c r="V52" s="17"/>
      <c r="W52" s="17"/>
      <c r="X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M53" s="17"/>
      <c r="N53" s="23"/>
      <c r="O53" s="17"/>
      <c r="P53" s="17"/>
      <c r="Q53" s="17"/>
      <c r="R53" s="17"/>
      <c r="S53" s="17"/>
      <c r="T53" s="17"/>
      <c r="U53" s="17"/>
      <c r="V53" s="17"/>
      <c r="W53" s="17"/>
      <c r="X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P54" s="17"/>
      <c r="Q54" s="17"/>
      <c r="R54" s="17"/>
      <c r="S54" s="17"/>
      <c r="T54" s="17"/>
      <c r="U54" s="17"/>
      <c r="V54" s="17"/>
      <c r="W54" s="17"/>
      <c r="X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M55" s="17"/>
      <c r="O55" s="17"/>
      <c r="P55" s="17"/>
      <c r="Q55" s="17"/>
      <c r="R55" s="17"/>
      <c r="S55" s="17"/>
      <c r="T55" s="17"/>
      <c r="U55" s="17"/>
      <c r="V55" s="17"/>
      <c r="W55" s="17"/>
      <c r="X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P56" s="17"/>
      <c r="Q56" s="17"/>
      <c r="R56" s="17"/>
      <c r="S56" s="17"/>
      <c r="T56" s="17"/>
      <c r="U56" s="17"/>
      <c r="V56" s="17"/>
      <c r="W56" s="17"/>
      <c r="X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M57" s="17"/>
      <c r="O57" s="17"/>
      <c r="P57" s="17"/>
      <c r="Q57" s="17"/>
      <c r="R57" s="17"/>
      <c r="S57" s="17"/>
      <c r="T57" s="17"/>
      <c r="U57" s="17"/>
      <c r="V57" s="17"/>
      <c r="W57" s="17"/>
      <c r="X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P58" s="17"/>
      <c r="Q58" s="17"/>
      <c r="R58" s="17"/>
      <c r="S58" s="17"/>
      <c r="T58" s="17"/>
      <c r="U58" s="17"/>
      <c r="V58" s="17"/>
      <c r="W58" s="17"/>
      <c r="X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M59" s="17"/>
      <c r="O59" s="17"/>
      <c r="P59" s="17"/>
      <c r="Q59" s="17"/>
      <c r="R59" s="17"/>
      <c r="S59" s="17"/>
      <c r="T59" s="17"/>
      <c r="U59" s="17"/>
      <c r="V59" s="17"/>
      <c r="W59" s="17"/>
      <c r="X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P60" s="17"/>
      <c r="Q60" s="17"/>
      <c r="R60" s="17"/>
      <c r="S60" s="17"/>
      <c r="T60" s="17"/>
      <c r="U60" s="17"/>
      <c r="V60" s="17"/>
      <c r="W60" s="17"/>
      <c r="X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9"/>
      <c r="L61" s="22"/>
      <c r="M61" s="19"/>
      <c r="N61" s="22"/>
      <c r="O61" s="19"/>
      <c r="P61" s="19"/>
      <c r="Q61" s="19"/>
      <c r="R61" s="17"/>
      <c r="S61" s="17"/>
      <c r="T61" s="17"/>
      <c r="U61" s="17"/>
      <c r="V61" s="17"/>
      <c r="W61" s="17"/>
      <c r="X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3"/>
      <c r="K62" s="19"/>
      <c r="L62" s="22"/>
      <c r="M62" s="22"/>
      <c r="N62" s="22"/>
      <c r="O62" s="19"/>
      <c r="P62" s="19"/>
      <c r="Q62" s="19"/>
      <c r="R62" s="19"/>
      <c r="S62" s="19"/>
      <c r="T62" s="19"/>
      <c r="U62" s="19"/>
      <c r="V62" s="19"/>
      <c r="W62" s="19"/>
      <c r="X62" s="19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3"/>
      <c r="K63" s="19"/>
      <c r="L63" s="22"/>
      <c r="M63" s="19"/>
      <c r="N63" s="22"/>
      <c r="O63" s="19"/>
      <c r="P63" s="19"/>
      <c r="Q63" s="19"/>
      <c r="R63" s="19"/>
      <c r="S63" s="19"/>
      <c r="T63" s="19"/>
      <c r="U63" s="19"/>
      <c r="V63" s="19"/>
      <c r="W63" s="19"/>
      <c r="X63" s="19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3"/>
      <c r="K64" s="19"/>
      <c r="L64" s="22"/>
      <c r="M64" s="22"/>
      <c r="N64" s="22"/>
      <c r="O64" s="19"/>
      <c r="P64" s="19"/>
      <c r="Q64" s="19"/>
      <c r="R64" s="19"/>
      <c r="S64" s="19"/>
      <c r="T64" s="19"/>
      <c r="U64" s="19"/>
      <c r="V64" s="19"/>
      <c r="W64" s="19"/>
      <c r="X64" s="19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3"/>
      <c r="K65" s="19"/>
      <c r="L65" s="22"/>
      <c r="M65" s="19"/>
      <c r="N65" s="22"/>
      <c r="P65" s="19"/>
      <c r="Q65" s="19"/>
      <c r="R65" s="19"/>
      <c r="S65" s="19"/>
      <c r="T65" s="19"/>
      <c r="U65" s="19"/>
      <c r="V65" s="19"/>
      <c r="W65" s="19"/>
      <c r="X65" s="19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3"/>
      <c r="K66" s="19"/>
      <c r="L66" s="22"/>
      <c r="M66" s="22"/>
      <c r="N66" s="22"/>
      <c r="O66" s="19"/>
      <c r="P66" s="19"/>
      <c r="Q66" s="19"/>
      <c r="R66" s="19"/>
      <c r="S66" s="19"/>
      <c r="T66" s="19"/>
      <c r="U66" s="19"/>
      <c r="V66" s="19"/>
      <c r="W66" s="19"/>
      <c r="X66" s="19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3"/>
      <c r="K67" s="19"/>
      <c r="L67" s="22"/>
      <c r="M67" s="19"/>
      <c r="N67" s="22"/>
      <c r="P67" s="19"/>
      <c r="Q67" s="19"/>
      <c r="R67" s="19"/>
      <c r="S67" s="19"/>
      <c r="T67" s="19"/>
      <c r="U67" s="19"/>
      <c r="V67" s="19"/>
      <c r="W67" s="19"/>
      <c r="X67" s="19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3"/>
      <c r="K68" s="19"/>
      <c r="L68" s="22"/>
      <c r="M68" s="22"/>
      <c r="N68" s="22"/>
      <c r="O68" s="19"/>
      <c r="P68" s="19"/>
      <c r="Q68" s="19"/>
      <c r="R68" s="19"/>
      <c r="S68" s="19"/>
      <c r="T68" s="19"/>
      <c r="U68" s="19"/>
      <c r="V68" s="19"/>
      <c r="W68" s="19"/>
      <c r="X68" s="19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3"/>
      <c r="K69" s="19"/>
      <c r="L69" s="22"/>
      <c r="M69" s="19"/>
      <c r="N69" s="22"/>
      <c r="P69" s="19"/>
      <c r="Q69" s="19"/>
      <c r="R69" s="19"/>
      <c r="S69" s="19"/>
      <c r="T69" s="19"/>
      <c r="U69" s="19"/>
      <c r="V69" s="19"/>
      <c r="W69" s="19"/>
      <c r="X69" s="19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3"/>
      <c r="K70" s="19"/>
      <c r="L70" s="22"/>
      <c r="M70" s="22"/>
      <c r="N70" s="22"/>
      <c r="O70" s="19"/>
      <c r="P70" s="19"/>
      <c r="Q70" s="19"/>
      <c r="R70" s="19"/>
      <c r="S70" s="19"/>
      <c r="T70" s="19"/>
      <c r="U70" s="19"/>
      <c r="V70" s="19"/>
      <c r="W70" s="19"/>
      <c r="X70" s="19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5"/>
      <c r="K71" s="19"/>
      <c r="L71" s="19"/>
      <c r="M71" s="19"/>
      <c r="N71" s="22"/>
      <c r="O71" s="19"/>
      <c r="P71" s="19"/>
      <c r="Q71" s="19"/>
      <c r="R71" s="19"/>
      <c r="S71" s="19"/>
      <c r="T71" s="19"/>
      <c r="U71" s="19"/>
      <c r="V71" s="19"/>
      <c r="W71" s="19"/>
      <c r="X71" s="19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5"/>
      <c r="K72" s="19"/>
      <c r="L72" s="19"/>
      <c r="M72" s="19"/>
      <c r="N72" s="22"/>
      <c r="O72" s="19"/>
      <c r="P72" s="19"/>
      <c r="Q72" s="19"/>
      <c r="R72" s="19"/>
      <c r="S72" s="19"/>
      <c r="T72" s="19"/>
      <c r="U72" s="19"/>
      <c r="V72" s="19"/>
      <c r="W72" s="19"/>
      <c r="X72" s="19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5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5"/>
      <c r="K74" s="19"/>
      <c r="L74" s="19"/>
      <c r="M74" s="19"/>
      <c r="N74" s="22"/>
      <c r="O74" s="19"/>
      <c r="P74" s="19"/>
      <c r="Q74" s="19"/>
      <c r="R74" s="19"/>
      <c r="S74" s="19"/>
      <c r="T74" s="19"/>
      <c r="U74" s="19"/>
      <c r="V74" s="19"/>
      <c r="W74" s="19"/>
      <c r="X74" s="19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5"/>
      <c r="K75" s="19"/>
      <c r="L75" s="19"/>
      <c r="M75" s="19"/>
      <c r="N75" s="22"/>
      <c r="O75" s="19"/>
      <c r="P75" s="19"/>
      <c r="Q75" s="19"/>
      <c r="R75" s="19"/>
      <c r="S75" s="19"/>
      <c r="T75" s="19"/>
      <c r="U75" s="19"/>
      <c r="V75" s="19"/>
      <c r="W75" s="19"/>
      <c r="X75" s="19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5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5"/>
      <c r="K77" s="19"/>
      <c r="L77" s="19"/>
      <c r="M77" s="19"/>
      <c r="N77" s="22"/>
      <c r="O77" s="19"/>
      <c r="P77" s="19"/>
      <c r="Q77" s="19"/>
      <c r="R77" s="19"/>
      <c r="S77" s="19"/>
      <c r="T77" s="19"/>
      <c r="U77" s="19"/>
      <c r="V77" s="19"/>
      <c r="W77" s="19"/>
      <c r="X77" s="19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5"/>
      <c r="K78" s="19"/>
      <c r="L78" s="19"/>
      <c r="M78" s="19"/>
      <c r="N78" s="19"/>
      <c r="P78" s="19"/>
      <c r="Q78" s="19"/>
      <c r="R78" s="19"/>
      <c r="S78" s="19"/>
      <c r="T78" s="19"/>
      <c r="U78" s="19"/>
      <c r="V78" s="19"/>
      <c r="W78" s="19"/>
      <c r="X78" s="19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5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5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5"/>
      <c r="K81" s="19"/>
      <c r="L81" s="19"/>
      <c r="M81" s="19"/>
      <c r="N81" s="22"/>
      <c r="P81" s="19"/>
      <c r="Q81" s="19"/>
      <c r="R81" s="19"/>
      <c r="S81" s="19"/>
      <c r="T81" s="19"/>
      <c r="U81" s="19"/>
      <c r="V81" s="19"/>
      <c r="W81" s="19"/>
      <c r="X81" s="19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</row>
    <row r="982">
      <c r="A982" s="17"/>
      <c r="B982" s="17"/>
      <c r="C982" s="17"/>
      <c r="D982" s="17"/>
      <c r="E982" s="17"/>
      <c r="F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</row>
    <row r="983">
      <c r="A983" s="17"/>
      <c r="B983" s="17"/>
      <c r="C983" s="17"/>
      <c r="D983" s="17"/>
      <c r="E983" s="17"/>
      <c r="F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</row>
    <row r="984">
      <c r="A984" s="17"/>
      <c r="B984" s="17"/>
      <c r="C984" s="17"/>
      <c r="D984" s="17"/>
      <c r="E984" s="17"/>
      <c r="F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</row>
    <row r="985">
      <c r="A985" s="17"/>
      <c r="B985" s="17"/>
      <c r="C985" s="17"/>
      <c r="D985" s="17"/>
      <c r="E985" s="17"/>
      <c r="F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</row>
    <row r="986">
      <c r="A986" s="17"/>
      <c r="B986" s="17"/>
      <c r="C986" s="17"/>
      <c r="D986" s="17"/>
      <c r="E986" s="17"/>
      <c r="F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</row>
    <row r="987">
      <c r="A987" s="17"/>
      <c r="B987" s="17"/>
      <c r="C987" s="17"/>
      <c r="D987" s="17"/>
      <c r="E987" s="17"/>
      <c r="F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</row>
    <row r="988">
      <c r="A988" s="17"/>
      <c r="B988" s="17"/>
      <c r="C988" s="17"/>
      <c r="D988" s="17"/>
      <c r="E988" s="17"/>
      <c r="F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</row>
    <row r="989">
      <c r="A989" s="17"/>
      <c r="B989" s="17"/>
      <c r="C989" s="17"/>
      <c r="D989" s="17"/>
      <c r="E989" s="17"/>
      <c r="F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</row>
    <row r="990">
      <c r="A990" s="17"/>
      <c r="B990" s="17"/>
      <c r="C990" s="17"/>
      <c r="D990" s="17"/>
      <c r="E990" s="17"/>
      <c r="F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</row>
    <row r="991">
      <c r="A991" s="17"/>
      <c r="B991" s="17"/>
      <c r="C991" s="17"/>
      <c r="D991" s="17"/>
      <c r="E991" s="17"/>
      <c r="F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</row>
    <row r="992">
      <c r="A992" s="17"/>
      <c r="B992" s="17"/>
      <c r="C992" s="17"/>
      <c r="D992" s="17"/>
      <c r="E992" s="17"/>
      <c r="F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</row>
    <row r="993">
      <c r="A993" s="17"/>
      <c r="B993" s="17"/>
      <c r="C993" s="17"/>
      <c r="D993" s="17"/>
      <c r="E993" s="17"/>
      <c r="F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</row>
    <row r="994">
      <c r="A994" s="17"/>
      <c r="B994" s="17"/>
      <c r="C994" s="17"/>
      <c r="D994" s="17"/>
      <c r="E994" s="17"/>
      <c r="F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</row>
    <row r="995">
      <c r="A995" s="17"/>
      <c r="B995" s="17"/>
      <c r="C995" s="17"/>
      <c r="D995" s="17"/>
      <c r="E995" s="17"/>
      <c r="F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</row>
    <row r="996">
      <c r="A996" s="17"/>
      <c r="B996" s="17"/>
      <c r="C996" s="17"/>
      <c r="D996" s="17"/>
      <c r="E996" s="17"/>
      <c r="F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</row>
    <row r="997">
      <c r="A997" s="17"/>
      <c r="B997" s="17"/>
      <c r="C997" s="17"/>
      <c r="D997" s="17"/>
      <c r="E997" s="17"/>
      <c r="F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</row>
    <row r="998">
      <c r="A998" s="17"/>
      <c r="B998" s="17"/>
      <c r="C998" s="17"/>
      <c r="D998" s="17"/>
      <c r="E998" s="17"/>
      <c r="F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</row>
    <row r="999">
      <c r="A999" s="17"/>
      <c r="B999" s="17"/>
      <c r="C999" s="17"/>
      <c r="D999" s="17"/>
      <c r="E999" s="17"/>
      <c r="F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</row>
    <row r="1000">
      <c r="A1000" s="17"/>
      <c r="B1000" s="17"/>
      <c r="C1000" s="17"/>
      <c r="D1000" s="17"/>
      <c r="E1000" s="17"/>
      <c r="F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</row>
  </sheetData>
  <mergeCells count="2">
    <mergeCell ref="A1:C1"/>
    <mergeCell ref="D1:R1"/>
  </mergeCells>
  <conditionalFormatting sqref="A1:A32 C33:C52 A53:A1000 J62:J81">
    <cfRule type="notContainsBlanks" dxfId="0" priority="1">
      <formula>LEN(TRIM(A1))&gt;0</formula>
    </cfRule>
  </conditionalFormatting>
  <conditionalFormatting sqref="J33:J52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2" max="6" width="18.13"/>
    <col customWidth="1" min="7" max="7" width="18.38"/>
    <col customWidth="1" min="8" max="8" width="17.63"/>
    <col customWidth="1" min="9" max="9" width="17.75"/>
    <col customWidth="1" min="10" max="10" width="20.13"/>
    <col customWidth="1" min="11" max="11" width="19.13"/>
    <col customWidth="1" min="12" max="12" width="20.0"/>
    <col customWidth="1" min="13" max="13" width="18.75"/>
    <col customWidth="1" min="14" max="14" width="19.25"/>
    <col customWidth="1" min="15" max="15" width="20.13"/>
    <col customWidth="1" min="16" max="16" width="18.5"/>
    <col customWidth="1" min="17" max="17" width="17.88"/>
    <col customWidth="1" min="18" max="18" width="20.0"/>
    <col customWidth="1" min="19" max="20" width="18.13"/>
    <col customWidth="1" min="21" max="21" width="19.0"/>
    <col customWidth="1" min="22" max="22" width="18.88"/>
    <col customWidth="1" min="23" max="23" width="19.13"/>
    <col customWidth="1" min="24" max="24" width="20.5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  <c r="Y1" s="23"/>
      <c r="Z1" s="23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57</v>
      </c>
      <c r="Q2" s="10" t="s">
        <v>58</v>
      </c>
      <c r="R2" s="10" t="s">
        <v>59</v>
      </c>
      <c r="S2" s="10" t="s">
        <v>60</v>
      </c>
      <c r="T2" s="10" t="s">
        <v>61</v>
      </c>
      <c r="U2" s="10" t="s">
        <v>62</v>
      </c>
      <c r="V2" s="10" t="s">
        <v>63</v>
      </c>
      <c r="W2" s="10" t="s">
        <v>64</v>
      </c>
      <c r="X2" s="10" t="s">
        <v>65</v>
      </c>
      <c r="Y2" s="23"/>
      <c r="Z2" s="23"/>
    </row>
    <row r="3">
      <c r="A3" s="3" t="s">
        <v>66</v>
      </c>
      <c r="B3" s="5" t="s">
        <v>39</v>
      </c>
      <c r="C3" s="11" t="s">
        <v>40</v>
      </c>
      <c r="D3" s="24">
        <v>-14.2512506730292</v>
      </c>
      <c r="E3" s="24">
        <v>-14.1866193829134</v>
      </c>
      <c r="F3" s="24">
        <v>-14.2903135052411</v>
      </c>
      <c r="G3" s="5">
        <v>-4306.82104008369</v>
      </c>
      <c r="H3" s="5">
        <v>-4306.82104008369</v>
      </c>
      <c r="I3" s="5">
        <v>-4306.82104008369</v>
      </c>
      <c r="J3" s="3">
        <v>-1.42068643734991</v>
      </c>
      <c r="K3" s="14">
        <v>-4306.57952491326</v>
      </c>
      <c r="L3" s="14">
        <v>-4306.48045509808</v>
      </c>
      <c r="M3" s="14">
        <v>-4305.97524455166</v>
      </c>
      <c r="N3" s="14"/>
      <c r="O3" s="14"/>
      <c r="P3" s="24">
        <v>93.0256336342466</v>
      </c>
      <c r="Q3" s="14">
        <v>93.2336996092201</v>
      </c>
      <c r="R3" s="14">
        <v>93.1376172241472</v>
      </c>
      <c r="S3" s="25">
        <v>90.593226839998</v>
      </c>
      <c r="T3" s="14">
        <v>90.3642526916002</v>
      </c>
      <c r="U3" s="14"/>
      <c r="V3" s="22">
        <v>-0.709249124897533</v>
      </c>
      <c r="W3" s="22">
        <v>-0.413168873365259</v>
      </c>
      <c r="X3" s="23"/>
      <c r="Y3" s="23"/>
      <c r="Z3" s="23"/>
    </row>
    <row r="4">
      <c r="A4" s="3" t="s">
        <v>67</v>
      </c>
      <c r="B4" s="5" t="s">
        <v>39</v>
      </c>
      <c r="C4" s="11" t="s">
        <v>40</v>
      </c>
      <c r="D4" s="24">
        <v>-15.2256808842754</v>
      </c>
      <c r="E4" s="24">
        <v>-14.6095375335261</v>
      </c>
      <c r="F4" s="24">
        <v>-17.8601929922942</v>
      </c>
      <c r="G4" s="5">
        <v>-3852.77881412186</v>
      </c>
      <c r="H4" s="5">
        <v>-3852.77881412186</v>
      </c>
      <c r="I4" s="5">
        <v>-3852.77881412186</v>
      </c>
      <c r="J4" s="3">
        <v>-1.72200348848576</v>
      </c>
      <c r="K4" s="14">
        <v>-3854.34660585057</v>
      </c>
      <c r="L4" s="14">
        <v>-3855.21087945645</v>
      </c>
      <c r="M4" s="14">
        <v>-3855.44975704393</v>
      </c>
      <c r="N4" s="14">
        <v>-3855.71541590054</v>
      </c>
      <c r="O4" s="14">
        <v>-3855.18846677228</v>
      </c>
      <c r="P4" s="12">
        <v>-100.247544217161</v>
      </c>
      <c r="Q4" s="14">
        <v>-100.061718370509</v>
      </c>
      <c r="R4" s="14">
        <v>-100.263009909084</v>
      </c>
      <c r="S4" s="25">
        <v>-102.402610978067</v>
      </c>
      <c r="T4" s="14">
        <v>-102.745244391146</v>
      </c>
      <c r="U4" s="14">
        <v>-101.679137208969</v>
      </c>
      <c r="V4" s="22">
        <v>-0.364914920266073</v>
      </c>
      <c r="W4" s="22">
        <v>-1.4965548635566</v>
      </c>
      <c r="X4" s="23"/>
      <c r="Y4" s="23"/>
      <c r="Z4" s="23"/>
    </row>
    <row r="5">
      <c r="A5" s="3" t="s">
        <v>68</v>
      </c>
      <c r="B5" s="5" t="s">
        <v>39</v>
      </c>
      <c r="C5" s="11" t="s">
        <v>40</v>
      </c>
      <c r="D5" s="24">
        <v>-10.3375632691894</v>
      </c>
      <c r="E5" s="24">
        <v>-10.394981056061</v>
      </c>
      <c r="F5" s="24">
        <v>-10.2709650597953</v>
      </c>
      <c r="G5" s="5">
        <v>-3172.46318922182</v>
      </c>
      <c r="H5" s="5">
        <v>-3172.46318922182</v>
      </c>
      <c r="I5" s="5">
        <v>-3172.46318922182</v>
      </c>
      <c r="J5" s="12">
        <v>-5.21996827527244</v>
      </c>
      <c r="K5" s="14">
        <v>-3177.43206519111</v>
      </c>
      <c r="L5" s="14">
        <v>-3177.53292175136</v>
      </c>
      <c r="M5" s="14">
        <v>-3177.21494697023</v>
      </c>
      <c r="N5" s="14">
        <v>-3176.98360064275</v>
      </c>
      <c r="O5" s="14">
        <v>-3177.09435551978</v>
      </c>
      <c r="P5" s="14">
        <v>-116.743349025186</v>
      </c>
      <c r="Q5" s="14">
        <v>-116.90452923582</v>
      </c>
      <c r="R5" s="14">
        <v>-116.856898130855</v>
      </c>
      <c r="S5" s="25">
        <v>-118.86649701524</v>
      </c>
      <c r="T5" s="14">
        <v>-118.890570293253</v>
      </c>
      <c r="U5" s="14">
        <v>-118.797167870415</v>
      </c>
      <c r="V5" s="22">
        <v>-5.09643923523945</v>
      </c>
      <c r="W5" s="22">
        <v>-4.85624397258345</v>
      </c>
      <c r="X5" s="23"/>
      <c r="Y5" s="23"/>
      <c r="Z5" s="23"/>
    </row>
    <row r="6">
      <c r="A6" s="3" t="s">
        <v>69</v>
      </c>
      <c r="B6" s="5" t="s">
        <v>39</v>
      </c>
      <c r="C6" s="11" t="s">
        <v>40</v>
      </c>
      <c r="D6" s="24">
        <v>-13.2671058258476</v>
      </c>
      <c r="E6" s="24">
        <v>-13.3000235773394</v>
      </c>
      <c r="F6" s="24">
        <v>-13.3364495133599</v>
      </c>
      <c r="G6" s="5">
        <v>-3744.33265792385</v>
      </c>
      <c r="H6" s="5">
        <v>-3744.33265792385</v>
      </c>
      <c r="I6" s="5">
        <v>-3744.33265792385</v>
      </c>
      <c r="J6" s="3">
        <v>-6.15111209618125</v>
      </c>
      <c r="K6" s="14">
        <v>-3750.59562542495</v>
      </c>
      <c r="L6" s="14">
        <v>-3750.86190715776</v>
      </c>
      <c r="M6" s="14">
        <v>-3750.64072043095</v>
      </c>
      <c r="N6" s="14">
        <v>-3750.44509924423</v>
      </c>
      <c r="O6" s="14">
        <v>-3750.50642850229</v>
      </c>
      <c r="P6" s="12">
        <v>2.20765751096658</v>
      </c>
      <c r="Q6" s="14">
        <v>2.07281455536033</v>
      </c>
      <c r="R6" s="14">
        <v>1.98121674216348</v>
      </c>
      <c r="S6" s="25">
        <v>-0.240898969219239</v>
      </c>
      <c r="T6" s="14">
        <v>-0.0915281103167856</v>
      </c>
      <c r="U6" s="14">
        <v>-0.215864864097483</v>
      </c>
      <c r="V6" s="22">
        <v>-6.06776657637498</v>
      </c>
      <c r="W6" s="22">
        <v>-6.11336014325931</v>
      </c>
      <c r="X6" s="23"/>
      <c r="Y6" s="23"/>
      <c r="Z6" s="23"/>
    </row>
    <row r="7">
      <c r="A7" s="3" t="s">
        <v>70</v>
      </c>
      <c r="B7" s="5" t="s">
        <v>39</v>
      </c>
      <c r="C7" s="11" t="s">
        <v>40</v>
      </c>
      <c r="D7" s="24">
        <v>-10.5532116135849</v>
      </c>
      <c r="E7" s="24">
        <v>-10.6296608815934</v>
      </c>
      <c r="F7" s="24">
        <v>-10.6241094593606</v>
      </c>
      <c r="G7" s="5">
        <v>-3353.03654520882</v>
      </c>
      <c r="H7" s="5">
        <v>-3353.03654520882</v>
      </c>
      <c r="I7" s="5">
        <v>-3353.03654520882</v>
      </c>
      <c r="J7" s="3">
        <v>-3.03505443243675</v>
      </c>
      <c r="K7" s="12">
        <v>-3356.36776662793</v>
      </c>
      <c r="L7" s="12">
        <v>-3356.37421468353</v>
      </c>
      <c r="M7" s="12">
        <v>-3355.65666711862</v>
      </c>
      <c r="N7" s="14">
        <v>-3355.61209967405</v>
      </c>
      <c r="O7" s="14">
        <v>-3355.70314718569</v>
      </c>
      <c r="P7" s="12">
        <v>-173.108891425043</v>
      </c>
      <c r="Q7" s="14">
        <v>-173.154267192145</v>
      </c>
      <c r="R7" s="14">
        <v>-173.161066648469</v>
      </c>
      <c r="S7" s="25">
        <v>-173.437031729228</v>
      </c>
      <c r="T7" s="14">
        <v>-173.503880739543</v>
      </c>
      <c r="U7" s="14"/>
      <c r="V7" s="22">
        <v>-3.27635974851877</v>
      </c>
      <c r="W7" s="22">
        <v>-3.28142350463896</v>
      </c>
      <c r="X7" s="23"/>
      <c r="Y7" s="23"/>
      <c r="Z7" s="23"/>
    </row>
    <row r="8">
      <c r="A8" s="3" t="s">
        <v>71</v>
      </c>
      <c r="B8" s="5" t="s">
        <v>39</v>
      </c>
      <c r="C8" s="11" t="s">
        <v>40</v>
      </c>
      <c r="D8" s="24">
        <v>-12.7979392380048</v>
      </c>
      <c r="E8" s="24">
        <v>-12.8355587146584</v>
      </c>
      <c r="F8" s="24">
        <v>-12.7448093950096</v>
      </c>
      <c r="G8" s="5">
        <v>-4753.41199252073</v>
      </c>
      <c r="H8" s="5">
        <v>-4753.41199252073</v>
      </c>
      <c r="I8" s="5">
        <v>-4753.41199252073</v>
      </c>
      <c r="J8" s="3">
        <v>-10.4046944475362</v>
      </c>
      <c r="K8" s="14">
        <v>-4762.95815945243</v>
      </c>
      <c r="L8" s="14" t="s">
        <v>72</v>
      </c>
      <c r="M8" s="14">
        <v>-4761.87279124053</v>
      </c>
      <c r="N8" s="14">
        <v>-4761.62872975887</v>
      </c>
      <c r="O8" s="14">
        <v>-4761.83645203542</v>
      </c>
      <c r="P8" s="12">
        <v>-278.246620694473</v>
      </c>
      <c r="Q8" s="14">
        <v>-278.194908385148</v>
      </c>
      <c r="R8" s="14">
        <v>-278.15957600069</v>
      </c>
      <c r="S8" s="25">
        <v>-279.789850101837</v>
      </c>
      <c r="T8" s="14">
        <v>-279.671298174758</v>
      </c>
      <c r="U8" s="14"/>
      <c r="V8" s="22">
        <v>-9.90485728416357</v>
      </c>
      <c r="W8" s="22">
        <v>-9.70542848965438</v>
      </c>
      <c r="X8" s="23"/>
      <c r="Y8" s="23"/>
      <c r="Z8" s="23"/>
    </row>
    <row r="9">
      <c r="A9" s="3" t="s">
        <v>73</v>
      </c>
      <c r="B9" s="5" t="s">
        <v>39</v>
      </c>
      <c r="C9" s="11" t="s">
        <v>40</v>
      </c>
      <c r="D9" s="24">
        <v>-11.9516418705153</v>
      </c>
      <c r="E9" s="24">
        <v>-11.944810247528</v>
      </c>
      <c r="F9" s="24">
        <v>-11.9187141864099</v>
      </c>
      <c r="G9" s="5">
        <v>-4293.6230531132</v>
      </c>
      <c r="H9" s="5">
        <v>-4293.6230531132</v>
      </c>
      <c r="I9" s="5">
        <v>-4293.6230531132</v>
      </c>
      <c r="J9" s="3">
        <v>-1.37903913886574</v>
      </c>
      <c r="K9" s="14">
        <v>-4293.63614725044</v>
      </c>
      <c r="L9" s="14">
        <v>-4293.79095830582</v>
      </c>
      <c r="M9" s="14">
        <v>-4293.54649036979</v>
      </c>
      <c r="N9" s="14">
        <v>-4293.3350525564</v>
      </c>
      <c r="O9" s="14">
        <v>-4293.81915155533</v>
      </c>
      <c r="P9" s="12">
        <v>-177.644449970776</v>
      </c>
      <c r="Q9" s="14">
        <v>-177.615579084512</v>
      </c>
      <c r="R9" s="14">
        <v>-177.729752082424</v>
      </c>
      <c r="S9" s="25">
        <v>-179.481949897628</v>
      </c>
      <c r="T9" s="14">
        <v>-179.768278205095</v>
      </c>
      <c r="U9" s="14"/>
      <c r="V9" s="22">
        <v>0.798198967979413</v>
      </c>
      <c r="W9" s="22">
        <v>0.791990512327319</v>
      </c>
      <c r="X9" s="23"/>
      <c r="Y9" s="23"/>
      <c r="Z9" s="23"/>
    </row>
    <row r="10">
      <c r="A10" s="3" t="s">
        <v>74</v>
      </c>
      <c r="B10" s="5" t="s">
        <v>39</v>
      </c>
      <c r="C10" s="11" t="s">
        <v>40</v>
      </c>
      <c r="D10" s="24">
        <v>-24.5807290337508</v>
      </c>
      <c r="E10" s="24">
        <v>-24.5725466033913</v>
      </c>
      <c r="F10" s="24">
        <v>-24.5474630389656</v>
      </c>
      <c r="G10" s="5">
        <v>-3330.87837797578</v>
      </c>
      <c r="H10" s="5">
        <v>-3330.87837797578</v>
      </c>
      <c r="I10" s="5">
        <v>-3330.87837797578</v>
      </c>
      <c r="J10" s="3">
        <v>-6.2427112752344</v>
      </c>
      <c r="K10" s="14">
        <v>-3327.57176688228</v>
      </c>
      <c r="L10" s="14">
        <v>-3326.83480043617</v>
      </c>
      <c r="M10" s="14">
        <v>-3327.31482001109</v>
      </c>
      <c r="N10" s="14">
        <v>-3327.76843586845</v>
      </c>
      <c r="O10" s="14">
        <v>-3327.83244098367</v>
      </c>
      <c r="P10" s="12">
        <v>-135.967827005053</v>
      </c>
      <c r="Q10" s="14">
        <v>-135.240161440117</v>
      </c>
      <c r="R10" s="14">
        <v>-135.466478309221</v>
      </c>
      <c r="S10" s="25">
        <v>-143.180997538963</v>
      </c>
      <c r="T10" s="14">
        <v>-139.922159704588</v>
      </c>
      <c r="U10" s="14"/>
      <c r="V10" s="22">
        <v>6.14680825037262</v>
      </c>
      <c r="W10" s="22">
        <v>6.24151814062179</v>
      </c>
      <c r="X10" s="23"/>
      <c r="Y10" s="23"/>
      <c r="Z10" s="23"/>
    </row>
    <row r="11">
      <c r="A11" s="3" t="s">
        <v>75</v>
      </c>
      <c r="B11" s="5" t="s">
        <v>39</v>
      </c>
      <c r="C11" s="11" t="s">
        <v>40</v>
      </c>
      <c r="D11" s="24">
        <v>-16.9743067116186</v>
      </c>
      <c r="E11" s="24">
        <v>-16.9443423252191</v>
      </c>
      <c r="F11" s="24">
        <v>-16.9871532748989</v>
      </c>
      <c r="G11" s="5">
        <v>-2490.40287756943</v>
      </c>
      <c r="H11" s="5">
        <v>-2490.40287756943</v>
      </c>
      <c r="I11" s="5">
        <v>-2490.40287756943</v>
      </c>
      <c r="J11" s="3">
        <v>2.97742913430306</v>
      </c>
      <c r="K11" s="14">
        <v>-2487.7769031887</v>
      </c>
      <c r="L11" s="14">
        <v>-2487.71286240354</v>
      </c>
      <c r="M11" s="14">
        <v>-2487.84422363731</v>
      </c>
      <c r="N11" s="14">
        <v>-2487.82137732961</v>
      </c>
      <c r="O11" s="14">
        <v>-2487.75364184543</v>
      </c>
      <c r="P11" s="24">
        <v>-61.2867296288816</v>
      </c>
      <c r="Q11" s="14">
        <v>-61.480267978991</v>
      </c>
      <c r="R11" s="14">
        <v>-61.53003848847</v>
      </c>
      <c r="S11" s="25">
        <v>-65.4252040117805</v>
      </c>
      <c r="T11" s="14">
        <v>-65.4404214125902</v>
      </c>
      <c r="U11" s="14"/>
      <c r="V11" s="22">
        <v>2.13507463172742</v>
      </c>
      <c r="W11" s="22">
        <v>2.08038195412541</v>
      </c>
      <c r="X11" s="23"/>
      <c r="Y11" s="23"/>
      <c r="Z11" s="23"/>
    </row>
    <row r="12">
      <c r="A12" s="5" t="s">
        <v>76</v>
      </c>
      <c r="B12" s="5" t="s">
        <v>39</v>
      </c>
      <c r="C12" s="11" t="s">
        <v>40</v>
      </c>
      <c r="D12" s="24">
        <v>-11.6628255949265</v>
      </c>
      <c r="E12" s="24">
        <v>-11.6559354169242</v>
      </c>
      <c r="F12" s="24">
        <v>-11.7049931815974</v>
      </c>
      <c r="G12" s="5">
        <v>-4891.12164638679</v>
      </c>
      <c r="H12" s="5">
        <v>-4891.12164638679</v>
      </c>
      <c r="I12" s="5">
        <v>-4891.12164638679</v>
      </c>
      <c r="J12" s="5">
        <v>-4.85124391081874</v>
      </c>
      <c r="K12" s="14">
        <v>-4898.53743134938</v>
      </c>
      <c r="L12" s="14">
        <v>-4899.19381390039</v>
      </c>
      <c r="M12" s="14">
        <v>-4897.55921880612</v>
      </c>
      <c r="N12" s="14">
        <v>-4897.73593005772</v>
      </c>
      <c r="O12" s="14">
        <v>-4897.76626899778</v>
      </c>
      <c r="P12" s="12">
        <v>-288.734656540862</v>
      </c>
      <c r="Q12" s="14">
        <v>-288.647284502526</v>
      </c>
      <c r="R12" s="14"/>
      <c r="S12" s="25">
        <v>-291.014135344008</v>
      </c>
      <c r="T12" s="14">
        <v>-290.774567399796</v>
      </c>
      <c r="U12" s="14"/>
      <c r="V12" s="22">
        <v>-5.51166431581711</v>
      </c>
      <c r="W12" s="22">
        <v>-5.40830430163277</v>
      </c>
      <c r="X12" s="23"/>
      <c r="Y12" s="23"/>
      <c r="Z12" s="23"/>
    </row>
    <row r="13">
      <c r="A13" s="23"/>
      <c r="B13" s="23"/>
      <c r="C13" s="23"/>
      <c r="D13" s="14"/>
      <c r="E13" s="5"/>
      <c r="F13" s="5"/>
      <c r="G13" s="5"/>
      <c r="H13" s="5"/>
      <c r="I13" s="5"/>
      <c r="J13" s="5"/>
      <c r="K13" s="12"/>
      <c r="L13" s="23"/>
      <c r="M13" s="14"/>
      <c r="N13" s="14"/>
      <c r="O13" s="14"/>
      <c r="P13" s="12"/>
      <c r="Q13" s="12"/>
      <c r="R13" s="12"/>
      <c r="S13" s="23"/>
      <c r="T13" s="23"/>
      <c r="U13" s="23"/>
      <c r="V13" s="23"/>
      <c r="W13" s="23"/>
      <c r="X13" s="23"/>
      <c r="Y13" s="23"/>
      <c r="Z13" s="23"/>
    </row>
    <row r="14">
      <c r="A14" s="23"/>
      <c r="B14" s="23"/>
      <c r="C14" s="23"/>
      <c r="D14" s="14"/>
      <c r="E14" s="5"/>
      <c r="F14" s="5"/>
      <c r="G14" s="5"/>
      <c r="H14" s="5"/>
      <c r="I14" s="5"/>
      <c r="J14" s="5"/>
      <c r="K14" s="12"/>
      <c r="L14" s="12"/>
      <c r="M14" s="14"/>
      <c r="N14" s="14"/>
      <c r="O14" s="14"/>
      <c r="P14" s="12"/>
      <c r="Q14" s="12"/>
      <c r="R14" s="12"/>
      <c r="S14" s="23"/>
      <c r="T14" s="23"/>
      <c r="U14" s="23"/>
      <c r="V14" s="23"/>
      <c r="W14" s="23"/>
      <c r="X14" s="23"/>
      <c r="Y14" s="23"/>
      <c r="Z14" s="23"/>
    </row>
    <row r="15">
      <c r="A15" s="23"/>
      <c r="B15" s="23"/>
      <c r="C15" s="23"/>
      <c r="D15" s="14"/>
      <c r="E15" s="5"/>
      <c r="F15" s="5"/>
      <c r="G15" s="5"/>
      <c r="H15" s="5"/>
      <c r="I15" s="5"/>
      <c r="J15" s="5"/>
      <c r="K15" s="12"/>
      <c r="L15" s="12"/>
      <c r="M15" s="14"/>
      <c r="N15" s="14"/>
      <c r="O15" s="14"/>
      <c r="P15" s="12"/>
      <c r="Q15" s="12"/>
      <c r="R15" s="12"/>
      <c r="S15" s="23"/>
      <c r="T15" s="23"/>
      <c r="U15" s="23"/>
      <c r="V15" s="23"/>
      <c r="W15" s="23"/>
      <c r="X15" s="23"/>
      <c r="Y15" s="23"/>
      <c r="Z15" s="23"/>
    </row>
    <row r="16">
      <c r="A16" s="14"/>
      <c r="B16" s="26" t="s">
        <v>77</v>
      </c>
      <c r="C16" s="26" t="s">
        <v>78</v>
      </c>
      <c r="D16" s="26" t="s">
        <v>79</v>
      </c>
      <c r="E16" s="27" t="s">
        <v>80</v>
      </c>
      <c r="F16" s="27" t="s">
        <v>81</v>
      </c>
      <c r="G16" s="28" t="s">
        <v>82</v>
      </c>
      <c r="H16" s="28" t="s">
        <v>83</v>
      </c>
      <c r="I16" s="28" t="s">
        <v>83</v>
      </c>
      <c r="J16" s="28" t="s">
        <v>83</v>
      </c>
      <c r="K16" s="12"/>
      <c r="L16" s="28" t="s">
        <v>84</v>
      </c>
      <c r="M16" s="3"/>
      <c r="O16" s="14"/>
      <c r="P16" s="12"/>
      <c r="Q16" s="12"/>
      <c r="R16" s="12"/>
      <c r="S16" s="23"/>
      <c r="T16" s="23"/>
      <c r="U16" s="23"/>
      <c r="V16" s="23"/>
      <c r="W16" s="23"/>
      <c r="X16" s="23"/>
      <c r="Y16" s="23"/>
      <c r="Z16" s="23"/>
    </row>
    <row r="17">
      <c r="A17" s="3" t="s">
        <v>66</v>
      </c>
      <c r="B17" s="5">
        <f t="shared" ref="B17:D17" si="1">D3+J3-G3</f>
        <v>4291.149103</v>
      </c>
      <c r="C17" s="5">
        <f t="shared" si="1"/>
        <v>-13.94510421</v>
      </c>
      <c r="D17" s="5">
        <f t="shared" si="1"/>
        <v>-13.94972852</v>
      </c>
      <c r="E17" s="29">
        <f>'SAMPL5-CHX-EE'!D3+'SAMPL5-CHX-EE'!J3-'SAMPL5-CHX-EE'!G3</f>
        <v>4289.024993</v>
      </c>
      <c r="F17" s="29">
        <f>'SAMPL5-CHX-EE'!E3+'SAMPL5-CHX-EE'!K3-'SAMPL5-CHX-EE'!H3</f>
        <v>-19.16063926</v>
      </c>
      <c r="G17" s="29">
        <f>'SAMPL5-CHX-EE'!F3+'SAMPL5-CHX-EE'!L3-'SAMPL5-CHX-EE'!I3</f>
        <v>-19.27973387</v>
      </c>
      <c r="H17" s="29">
        <f>-(D3-'SAMPL5-CHX-EE'!D3)/(2.303*298.15*0.001987)</f>
        <v>-2.630363707</v>
      </c>
      <c r="I17" s="29">
        <f>(E3-'SAMPL5-CHX-EE'!E3)/(2.303*298.15*0.001987)</f>
        <v>2.718898271</v>
      </c>
      <c r="J17" s="29">
        <f>(F3-'SAMPL5-CHX-EE'!F3)/(2.303*298.15*0.001987)</f>
        <v>2.568924934</v>
      </c>
      <c r="K17" s="29"/>
      <c r="L17" s="22">
        <v>1.4</v>
      </c>
      <c r="M17" s="3">
        <v>0.7</v>
      </c>
      <c r="N17" s="30"/>
      <c r="O17" s="30"/>
      <c r="P17" s="12"/>
      <c r="Q17" s="12"/>
      <c r="R17" s="12"/>
      <c r="S17" s="23"/>
      <c r="T17" s="23"/>
      <c r="U17" s="23"/>
      <c r="V17" s="23"/>
      <c r="W17" s="23"/>
      <c r="X17" s="23"/>
      <c r="Y17" s="23"/>
      <c r="Z17" s="23"/>
    </row>
    <row r="18">
      <c r="A18" s="3" t="s">
        <v>67</v>
      </c>
      <c r="B18" s="5">
        <f t="shared" ref="B18:D18" si="2">D4+J4-G4</f>
        <v>3835.83113</v>
      </c>
      <c r="C18" s="5">
        <f t="shared" si="2"/>
        <v>-16.17732926</v>
      </c>
      <c r="D18" s="5">
        <f t="shared" si="2"/>
        <v>-20.29225833</v>
      </c>
      <c r="E18" s="29">
        <f>'SAMPL5-CHX-EE'!D4+'SAMPL5-CHX-EE'!J4-'SAMPL5-CHX-EE'!G4</f>
        <v>3838.334422</v>
      </c>
      <c r="F18" s="29">
        <f>'SAMPL5-CHX-EE'!E4+'SAMPL5-CHX-EE'!K4-'SAMPL5-CHX-EE'!H4</f>
        <v>-14.56429968</v>
      </c>
      <c r="G18" s="29">
        <f>'SAMPL5-CHX-EE'!F4+'SAMPL5-CHX-EE'!L4-'SAMPL5-CHX-EE'!I4</f>
        <v>-14.51864155</v>
      </c>
      <c r="H18" s="29">
        <f>(D4-'SAMPL5-CHX-EE'!D4)/(2.303*298.15*0.001987)</f>
        <v>-0.5382886251</v>
      </c>
      <c r="I18" s="29">
        <f>(E4-'SAMPL5-CHX-EE'!E4)/(2.303*298.15*0.001987)</f>
        <v>-0.06089955781</v>
      </c>
      <c r="J18" s="29">
        <f>(F4-'SAMPL5-CHX-EE'!F4)/(2.303*298.15*0.001987)</f>
        <v>-2.477039316</v>
      </c>
      <c r="K18" s="29"/>
      <c r="L18" s="22">
        <v>1.7</v>
      </c>
      <c r="M18" s="22">
        <v>0.3</v>
      </c>
      <c r="N18" s="31"/>
      <c r="O18" s="23"/>
      <c r="P18" s="12"/>
      <c r="Q18" s="3"/>
      <c r="R18" s="32"/>
      <c r="S18" s="23"/>
      <c r="T18" s="23"/>
      <c r="U18" s="23"/>
      <c r="V18" s="23"/>
      <c r="W18" s="23"/>
      <c r="X18" s="23"/>
      <c r="Y18" s="23"/>
      <c r="Z18" s="23"/>
    </row>
    <row r="19">
      <c r="A19" s="3" t="s">
        <v>68</v>
      </c>
      <c r="B19" s="5">
        <f t="shared" ref="B19:D19" si="3">D5+J5-G5</f>
        <v>3156.905658</v>
      </c>
      <c r="C19" s="5">
        <f t="shared" si="3"/>
        <v>-15.36385703</v>
      </c>
      <c r="D19" s="5">
        <f t="shared" si="3"/>
        <v>-15.34069759</v>
      </c>
      <c r="E19" s="29">
        <f>'SAMPL5-CHX-EE'!D5+'SAMPL5-CHX-EE'!J5-'SAMPL5-CHX-EE'!G5</f>
        <v>3157.989764</v>
      </c>
      <c r="F19" s="29">
        <f>'SAMPL5-CHX-EE'!E5+'SAMPL5-CHX-EE'!K5-'SAMPL5-CHX-EE'!H5</f>
        <v>-14.30192783</v>
      </c>
      <c r="G19" s="29">
        <f>'SAMPL5-CHX-EE'!F5+'SAMPL5-CHX-EE'!L5-'SAMPL5-CHX-EE'!I5</f>
        <v>-14.27876979</v>
      </c>
      <c r="H19" s="29">
        <f>(D5-'SAMPL5-CHX-EE'!D5)/(2.303*298.15*0.001987)</f>
        <v>3.066552902</v>
      </c>
      <c r="I19" s="29">
        <f>(E5-'SAMPL5-CHX-EE'!E5)/(2.303*298.15*0.001987)</f>
        <v>3.007501483</v>
      </c>
      <c r="J19" s="29">
        <f>(F5-'SAMPL5-CHX-EE'!F5)/(2.303*298.15*0.001987)</f>
        <v>3.10517236</v>
      </c>
      <c r="K19" s="29"/>
      <c r="L19" s="22">
        <v>1.2</v>
      </c>
      <c r="M19" s="22">
        <v>0.3</v>
      </c>
      <c r="N19" s="31"/>
      <c r="O19" s="23"/>
      <c r="P19" s="12"/>
      <c r="Q19" s="3"/>
      <c r="R19" s="31"/>
      <c r="S19" s="23"/>
      <c r="T19" s="23"/>
      <c r="U19" s="23"/>
      <c r="V19" s="23"/>
      <c r="W19" s="23"/>
      <c r="X19" s="23"/>
      <c r="Y19" s="23"/>
      <c r="Z19" s="23"/>
    </row>
    <row r="20">
      <c r="A20" s="3" t="s">
        <v>69</v>
      </c>
      <c r="B20" s="5">
        <f t="shared" ref="B20:D20" si="4">D6+J6-G6</f>
        <v>3724.91444</v>
      </c>
      <c r="C20" s="5">
        <f t="shared" si="4"/>
        <v>-19.56299108</v>
      </c>
      <c r="D20" s="5">
        <f t="shared" si="4"/>
        <v>-19.86569875</v>
      </c>
      <c r="E20" s="29">
        <f>'SAMPL5-CHX-EE'!D6+'SAMPL5-CHX-EE'!J6-'SAMPL5-CHX-EE'!G6</f>
        <v>3727.349637</v>
      </c>
      <c r="F20" s="29">
        <f>'SAMPL5-CHX-EE'!E6+'SAMPL5-CHX-EE'!K6-'SAMPL5-CHX-EE'!H6</f>
        <v>-18.02703315</v>
      </c>
      <c r="G20" s="29">
        <f>'SAMPL5-CHX-EE'!F6+'SAMPL5-CHX-EE'!L6-'SAMPL5-CHX-EE'!I6</f>
        <v>-17.19687809</v>
      </c>
      <c r="H20" s="29">
        <f>(D6-'SAMPL5-CHX-EE'!D6)/(2.303*298.15*0.001987)</f>
        <v>2.812211335</v>
      </c>
      <c r="I20" s="29">
        <f>(E6-'SAMPL5-CHX-EE'!E6)/(2.303*298.15*0.001987)</f>
        <v>2.804264398</v>
      </c>
      <c r="J20" s="29">
        <f>(F6-'SAMPL5-CHX-EE'!F6)/(2.303*298.15*0.001987)</f>
        <v>2.750330241</v>
      </c>
      <c r="K20" s="29"/>
      <c r="L20" s="22">
        <v>0.2</v>
      </c>
      <c r="M20" s="22">
        <v>0.3</v>
      </c>
      <c r="N20" s="31"/>
      <c r="O20" s="31"/>
      <c r="P20" s="12"/>
      <c r="Q20" s="3"/>
      <c r="R20" s="32"/>
      <c r="S20" s="23"/>
      <c r="T20" s="23"/>
      <c r="U20" s="23"/>
      <c r="V20" s="23"/>
      <c r="W20" s="23"/>
      <c r="X20" s="23"/>
      <c r="Y20" s="23"/>
      <c r="Z20" s="23"/>
    </row>
    <row r="21">
      <c r="A21" s="3" t="s">
        <v>70</v>
      </c>
      <c r="B21" s="5">
        <f t="shared" ref="B21:D21" si="5">D7+J7-G7</f>
        <v>3339.448279</v>
      </c>
      <c r="C21" s="5">
        <f t="shared" si="5"/>
        <v>-13.9608823</v>
      </c>
      <c r="D21" s="5">
        <f t="shared" si="5"/>
        <v>-13.96177893</v>
      </c>
      <c r="E21" s="29">
        <f>'SAMPL5-CHX-EE'!D7+'SAMPL5-CHX-EE'!J7-'SAMPL5-CHX-EE'!G7</f>
        <v>3339.669406</v>
      </c>
      <c r="F21" s="29">
        <f>'SAMPL5-CHX-EE'!E7+'SAMPL5-CHX-EE'!K7-'SAMPL5-CHX-EE'!H7</f>
        <v>-13.30620194</v>
      </c>
      <c r="G21" s="29">
        <f>'SAMPL5-CHX-EE'!F7+'SAMPL5-CHX-EE'!L7-'SAMPL5-CHX-EE'!I7</f>
        <v>-13.16335584</v>
      </c>
      <c r="H21" s="29">
        <f>(D7-'SAMPL5-CHX-EE'!D7)/(2.303*298.15*0.001987)</f>
        <v>2.08990758</v>
      </c>
      <c r="I21" s="29">
        <f>(E7-'SAMPL5-CHX-EE'!E7)/(2.303*298.15*0.001987)</f>
        <v>2.107805566</v>
      </c>
      <c r="J21" s="29">
        <f>(F7-'SAMPL5-CHX-EE'!F7)/(2.303*298.15*0.001987)</f>
        <v>2.056355413</v>
      </c>
      <c r="K21" s="29"/>
      <c r="L21" s="22">
        <v>0.8</v>
      </c>
      <c r="M21" s="22">
        <v>0.6</v>
      </c>
      <c r="N21" s="31"/>
      <c r="O21" s="23"/>
      <c r="P21" s="12"/>
      <c r="Q21" s="3"/>
      <c r="R21" s="32"/>
      <c r="S21" s="23"/>
      <c r="T21" s="23"/>
      <c r="U21" s="23"/>
      <c r="V21" s="23"/>
      <c r="W21" s="23"/>
      <c r="X21" s="23"/>
      <c r="Y21" s="23"/>
      <c r="Z21" s="23"/>
    </row>
    <row r="22">
      <c r="A22" s="3" t="s">
        <v>71</v>
      </c>
      <c r="B22" s="5">
        <f t="shared" ref="B22:D22" si="6">D8+J8-G8</f>
        <v>4730.209359</v>
      </c>
      <c r="C22" s="5">
        <f t="shared" si="6"/>
        <v>-22.38172565</v>
      </c>
      <c r="D22" s="5" t="str">
        <f t="shared" si="6"/>
        <v>#VALUE!</v>
      </c>
      <c r="E22" s="29">
        <f>'SAMPL5-CHX-EE'!D8+'SAMPL5-CHX-EE'!J8-'SAMPL5-CHX-EE'!G8</f>
        <v>4735.364033</v>
      </c>
      <c r="F22" s="29">
        <f>'SAMPL5-CHX-EE'!E8+'SAMPL5-CHX-EE'!K8-'SAMPL5-CHX-EE'!H8</f>
        <v>-17.69691907</v>
      </c>
      <c r="G22" s="29">
        <f>'SAMPL5-CHX-EE'!F8+'SAMPL5-CHX-EE'!L8-'SAMPL5-CHX-EE'!I8</f>
        <v>-18.41685034</v>
      </c>
      <c r="H22" s="29">
        <f>(D8-'SAMPL5-CHX-EE'!D8)/(2.303*298.15*0.001987)</f>
        <v>3.887665358</v>
      </c>
      <c r="I22" s="29">
        <f>(E8-'SAMPL5-CHX-EE'!E8)/(2.303*298.15*0.001987)</f>
        <v>3.922520059</v>
      </c>
      <c r="J22" s="29">
        <f>(F8-'SAMPL5-CHX-EE'!F8)/(2.303*298.15*0.001987)</f>
        <v>4.000050158</v>
      </c>
      <c r="K22" s="29"/>
      <c r="L22" s="22">
        <v>1.4</v>
      </c>
      <c r="M22" s="22">
        <v>0.3</v>
      </c>
      <c r="N22" s="31"/>
      <c r="O22" s="31"/>
      <c r="P22" s="12"/>
      <c r="Q22" s="3"/>
      <c r="R22" s="31"/>
      <c r="S22" s="23"/>
      <c r="T22" s="23"/>
      <c r="U22" s="23"/>
      <c r="V22" s="23"/>
      <c r="W22" s="23"/>
      <c r="X22" s="23"/>
      <c r="Y22" s="23"/>
      <c r="Z22" s="23"/>
    </row>
    <row r="23">
      <c r="A23" s="3" t="s">
        <v>73</v>
      </c>
      <c r="B23" s="5">
        <f t="shared" ref="B23:D23" si="7">D9+J9-G9</f>
        <v>4280.292372</v>
      </c>
      <c r="C23" s="5">
        <f t="shared" si="7"/>
        <v>-11.95790438</v>
      </c>
      <c r="D23" s="5">
        <f t="shared" si="7"/>
        <v>-12.08661938</v>
      </c>
      <c r="E23" s="29">
        <f>'SAMPL5-CHX-EE'!D9+'SAMPL5-CHX-EE'!J9-'SAMPL5-CHX-EE'!G9</f>
        <v>4279.638465</v>
      </c>
      <c r="F23" s="29">
        <f>'SAMPL5-CHX-EE'!E9+'SAMPL5-CHX-EE'!K9-'SAMPL5-CHX-EE'!H9</f>
        <v>-12.83632754</v>
      </c>
      <c r="G23" s="29">
        <f>'SAMPL5-CHX-EE'!F9+'SAMPL5-CHX-EE'!L9-'SAMPL5-CHX-EE'!I9</f>
        <v>-12.62549956</v>
      </c>
      <c r="H23" s="29">
        <f>(D9-'SAMPL5-CHX-EE'!D9)/(2.303*298.15*0.001987)</f>
        <v>1.523736928</v>
      </c>
      <c r="I23" s="29">
        <f>(E9-'SAMPL5-CHX-EE'!E9)/(2.303*298.15*0.001987)</f>
        <v>1.594104923</v>
      </c>
      <c r="J23" s="29">
        <f>(F9-'SAMPL5-CHX-EE'!F9)/(2.303*298.15*0.001987)</f>
        <v>1.541300225</v>
      </c>
      <c r="K23" s="29"/>
      <c r="L23" s="22">
        <v>0.0</v>
      </c>
      <c r="M23" s="22">
        <v>0.4</v>
      </c>
      <c r="N23" s="31"/>
      <c r="O23" s="32"/>
      <c r="P23" s="23"/>
      <c r="Q23" s="3"/>
      <c r="R23" s="32"/>
      <c r="S23" s="23"/>
      <c r="T23" s="23"/>
      <c r="U23" s="23"/>
      <c r="V23" s="23"/>
      <c r="W23" s="23"/>
      <c r="X23" s="23"/>
      <c r="Y23" s="23"/>
      <c r="Z23" s="23"/>
    </row>
    <row r="24">
      <c r="A24" s="3" t="s">
        <v>74</v>
      </c>
      <c r="B24" s="5">
        <f t="shared" ref="B24:D24" si="8">D10+J10-G10</f>
        <v>3300.054938</v>
      </c>
      <c r="C24" s="5">
        <f t="shared" si="8"/>
        <v>-21.26593551</v>
      </c>
      <c r="D24" s="5">
        <f t="shared" si="8"/>
        <v>-20.5038855</v>
      </c>
      <c r="E24" s="29">
        <f>'SAMPL5-CHX-EE'!D10+'SAMPL5-CHX-EE'!J10-'SAMPL5-CHX-EE'!G10</f>
        <v>3314.485918</v>
      </c>
      <c r="F24" s="29">
        <f>'SAMPL5-CHX-EE'!E10+'SAMPL5-CHX-EE'!K10-'SAMPL5-CHX-EE'!H10</f>
        <v>-13.79910601</v>
      </c>
      <c r="G24" s="29">
        <f>'SAMPL5-CHX-EE'!F10+'SAMPL5-CHX-EE'!L10-'SAMPL5-CHX-EE'!I10</f>
        <v>-13.87447999</v>
      </c>
      <c r="H24" s="29">
        <f>(D10-'SAMPL5-CHX-EE'!D10)/(2.303*298.15*0.001987)</f>
        <v>-5.994660275</v>
      </c>
      <c r="I24" s="29">
        <f>(E10-'SAMPL5-CHX-EE'!E10)/(2.303*298.15*0.001987)</f>
        <v>-5.956509347</v>
      </c>
      <c r="J24" s="29">
        <f>(F10-'SAMPL5-CHX-EE'!F10)/(2.303*298.15*0.001987)</f>
        <v>-5.901157071</v>
      </c>
      <c r="K24" s="29"/>
      <c r="L24" s="22">
        <v>-1.9</v>
      </c>
      <c r="M24" s="22">
        <v>0.3</v>
      </c>
      <c r="N24" s="31"/>
      <c r="O24" s="23"/>
      <c r="P24" s="23"/>
      <c r="Q24" s="3"/>
      <c r="R24" s="32"/>
      <c r="S24" s="23"/>
      <c r="T24" s="23"/>
      <c r="U24" s="23"/>
      <c r="V24" s="23"/>
      <c r="W24" s="23"/>
      <c r="X24" s="23"/>
      <c r="Y24" s="23"/>
      <c r="Z24" s="23"/>
    </row>
    <row r="25">
      <c r="A25" s="3" t="s">
        <v>75</v>
      </c>
      <c r="B25" s="5">
        <f t="shared" ref="B25:D25" si="9">D11+J11-G11</f>
        <v>2476.406</v>
      </c>
      <c r="C25" s="5">
        <f t="shared" si="9"/>
        <v>-14.31836794</v>
      </c>
      <c r="D25" s="5">
        <f t="shared" si="9"/>
        <v>-14.29713811</v>
      </c>
      <c r="E25" s="29">
        <f>'SAMPL5-CHX-EE'!D11+'SAMPL5-CHX-EE'!J11-'SAMPL5-CHX-EE'!G11</f>
        <v>2478.068472</v>
      </c>
      <c r="F25" s="29">
        <f>'SAMPL5-CHX-EE'!E11+'SAMPL5-CHX-EE'!K11-'SAMPL5-CHX-EE'!H11</f>
        <v>-11.45406091</v>
      </c>
      <c r="G25" s="29">
        <f>'SAMPL5-CHX-EE'!F11+'SAMPL5-CHX-EE'!L11-'SAMPL5-CHX-EE'!I11</f>
        <v>-11.33681341</v>
      </c>
      <c r="H25" s="29">
        <f>(D11-'SAMPL5-CHX-EE'!D11)/(2.303*298.15*0.001987)</f>
        <v>-3.405683794</v>
      </c>
      <c r="I25" s="29">
        <f>(E11-'SAMPL5-CHX-EE'!E11)/(2.303*298.15*0.001987)</f>
        <v>-3.379197431</v>
      </c>
      <c r="J25" s="29">
        <f>(F11-'SAMPL5-CHX-EE'!F11)/(2.303*298.15*0.001987)</f>
        <v>-3.474901824</v>
      </c>
      <c r="K25" s="29"/>
      <c r="L25" s="22">
        <v>-2.2</v>
      </c>
      <c r="M25" s="22">
        <v>0.3</v>
      </c>
      <c r="N25" s="31"/>
      <c r="O25" s="32"/>
      <c r="P25" s="23"/>
      <c r="Q25" s="3"/>
      <c r="R25" s="31"/>
      <c r="S25" s="23"/>
      <c r="T25" s="23"/>
      <c r="U25" s="23"/>
      <c r="V25" s="23"/>
      <c r="W25" s="23"/>
      <c r="X25" s="23"/>
      <c r="Y25" s="23"/>
      <c r="Z25" s="23"/>
    </row>
    <row r="26">
      <c r="A26" s="5" t="s">
        <v>76</v>
      </c>
      <c r="B26" s="5">
        <f t="shared" ref="B26:D26" si="10">D12+J12-G12</f>
        <v>4874.607577</v>
      </c>
      <c r="C26" s="5">
        <f t="shared" si="10"/>
        <v>-19.07172038</v>
      </c>
      <c r="D26" s="5">
        <f t="shared" si="10"/>
        <v>-19.7771607</v>
      </c>
      <c r="E26" s="29">
        <f>'SAMPL5-CHX-EE'!D12+'SAMPL5-CHX-EE'!J12-'SAMPL5-CHX-EE'!G12</f>
        <v>4873.27205</v>
      </c>
      <c r="F26" s="29">
        <f>'SAMPL5-CHX-EE'!E12+'SAMPL5-CHX-EE'!K12-'SAMPL5-CHX-EE'!H12</f>
        <v>-18.36814996</v>
      </c>
      <c r="G26" s="29">
        <f>'SAMPL5-CHX-EE'!F12+'SAMPL5-CHX-EE'!L12-'SAMPL5-CHX-EE'!I12</f>
        <v>-18.37853008</v>
      </c>
      <c r="H26" s="29">
        <f>(D12-'SAMPL5-CHX-EE'!D12)/(2.303*298.15*0.001987)</f>
        <v>4.557838412</v>
      </c>
      <c r="I26" s="29">
        <f>(E12-'SAMPL5-CHX-EE'!E12)/(2.303*298.15*0.001987)</f>
        <v>4.642201468</v>
      </c>
      <c r="J26" s="29">
        <f>(F12-'SAMPL5-CHX-EE'!F12)/(2.303*298.15*0.001987)</f>
        <v>4.559588038</v>
      </c>
      <c r="K26" s="29"/>
      <c r="L26" s="22">
        <v>0.7</v>
      </c>
      <c r="M26" s="22">
        <v>0.2</v>
      </c>
      <c r="N26" s="31"/>
      <c r="O26" s="23"/>
      <c r="P26" s="23"/>
      <c r="Q26" s="3"/>
      <c r="R26" s="32"/>
      <c r="S26" s="23"/>
      <c r="T26" s="23"/>
      <c r="U26" s="23"/>
      <c r="V26" s="23"/>
      <c r="W26" s="23"/>
      <c r="X26" s="23"/>
      <c r="Y26" s="23"/>
      <c r="Z26" s="23"/>
    </row>
    <row r="27">
      <c r="A27" s="23"/>
      <c r="B27" s="23"/>
      <c r="C27" s="23"/>
      <c r="D27" s="23"/>
      <c r="E27" s="23"/>
      <c r="F27" s="23"/>
      <c r="G27" s="5"/>
      <c r="H27" s="23"/>
      <c r="I27" s="29"/>
      <c r="J27" s="23"/>
      <c r="K27" s="30"/>
      <c r="L27" s="31"/>
      <c r="M27" s="31"/>
      <c r="N27" s="31"/>
      <c r="O27" s="23"/>
      <c r="P27" s="23"/>
      <c r="Q27" s="5"/>
      <c r="R27" s="32"/>
      <c r="S27" s="23"/>
      <c r="T27" s="23"/>
      <c r="U27" s="23"/>
      <c r="V27" s="23"/>
      <c r="W27" s="23"/>
      <c r="X27" s="23"/>
      <c r="Y27" s="23"/>
      <c r="Z27" s="23"/>
    </row>
    <row r="28">
      <c r="A28" s="23"/>
      <c r="B28" s="28" t="s">
        <v>85</v>
      </c>
      <c r="C28" s="28" t="s">
        <v>85</v>
      </c>
      <c r="D28" s="28" t="s">
        <v>85</v>
      </c>
      <c r="E28" s="28" t="s">
        <v>86</v>
      </c>
      <c r="F28" s="28" t="s">
        <v>86</v>
      </c>
      <c r="G28" s="28" t="s">
        <v>86</v>
      </c>
      <c r="H28" s="33" t="s">
        <v>87</v>
      </c>
      <c r="I28" s="33" t="s">
        <v>87</v>
      </c>
      <c r="J28" s="33" t="s">
        <v>87</v>
      </c>
      <c r="K28" s="34" t="s">
        <v>88</v>
      </c>
      <c r="L28" s="34" t="s">
        <v>88</v>
      </c>
      <c r="M28" s="34" t="s">
        <v>88</v>
      </c>
      <c r="N28" s="32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3" t="s">
        <v>66</v>
      </c>
      <c r="B29" s="29">
        <f>(D3+J3-('SAMPL5-CHX-EE'!D3+'SAMPL5-CHX-EE'!J3))/(2.303*298.15*0.001987)</f>
        <v>1.556862857</v>
      </c>
      <c r="C29" s="29">
        <f>(E3+K3-('SAMPL5-CHX-EE'!E3+'SAMPL5-CHX-EE'!K3))/(2.303*298.15*0.001987)</f>
        <v>3.822717895</v>
      </c>
      <c r="D29" s="29">
        <f>(F3+L3-('SAMPL5-CHX-EE'!F3+'SAMPL5-CHX-EE'!L3))/(2.303*298.15*0.001987)</f>
        <v>3.906618717</v>
      </c>
      <c r="E29" s="29">
        <f>(D3+M3-('SAMPL5-CHX-EE'!D3+'SAMPL5-CHX-EE'!M3))/(2.303*298.15*0.001987)</f>
        <v>4.02882568</v>
      </c>
      <c r="F29" s="29">
        <f>(E3+N3-('SAMPL5-CHX-EE'!E3+'SAMPL5-CHX-EE'!N3))/(2.303*298.15*0.001987)</f>
        <v>3159.395272</v>
      </c>
      <c r="G29" s="29">
        <f>(F3+O3-('SAMPL5-CHX-EE'!F3+'SAMPL5-CHX-EE'!O3))/(2.303*298.15*0.001987)</f>
        <v>3160.363814</v>
      </c>
      <c r="H29" s="29">
        <f>(D3+P3-('SAMPL5-CHX-EE'!D3+'SAMPL5-CHX-EE'!P3))/(2.303*298.15*0.001987)</f>
        <v>2.494159069</v>
      </c>
      <c r="I29" s="29">
        <f>(E3+Q3-('SAMPL5-CHX-EE'!E3+'SAMPL5-CHX-EE'!Q3))/(2.303*298.15*0.001987)</f>
        <v>3.942343598</v>
      </c>
      <c r="J29" s="29">
        <f>(F3+R3-('SAMPL5-CHX-EE'!F3+'SAMPL5-CHX-EE'!R3))/(2.303*298.15*0.001987)</f>
        <v>3.018495505</v>
      </c>
      <c r="K29" s="29">
        <f>(D3+S3-('SAMPL5-CHX-EE'!D3+'SAMPL5-CHX-EE'!S3))/(2.303*298.15*0.001987)</f>
        <v>2.687193776</v>
      </c>
      <c r="L29" s="29">
        <f>(E3+T3-('SAMPL5-CHX-EE'!E3+'SAMPL5-CHX-EE'!T3))/(2.303*298.15*0.001987)</f>
        <v>68.95122967</v>
      </c>
      <c r="M29" s="29">
        <f>(F3+U3-('SAMPL5-CHX-EE'!F3+'SAMPL5-CHX-EE'!U3))/(2.303*298.15*0.001987)</f>
        <v>2.568924934</v>
      </c>
      <c r="N29" s="32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3" t="s">
        <v>67</v>
      </c>
      <c r="B30" s="29">
        <f>(D4+J4-('SAMPL5-CHX-EE'!D4+'SAMPL5-CHX-EE'!J4))/(2.303*298.15*0.001987)</f>
        <v>-1.834784129</v>
      </c>
      <c r="C30" s="29">
        <f>(E4+K4-('SAMPL5-CHX-EE'!E4+'SAMPL5-CHX-EE'!K4))/(2.303*298.15*0.001987)</f>
        <v>-1.182267396</v>
      </c>
      <c r="D30" s="29">
        <f>(F4+L4-('SAMPL5-CHX-EE'!F4+'SAMPL5-CHX-EE'!L4))/(2.303*298.15*0.001987)</f>
        <v>-4.231762983</v>
      </c>
      <c r="E30" s="29">
        <f>(D4+M4-('SAMPL5-CHX-EE'!D4+'SAMPL5-CHX-EE'!M4))/(2.303*298.15*0.001987)</f>
        <v>-2.560496766</v>
      </c>
      <c r="F30" s="29">
        <f>(E4+N4-('SAMPL5-CHX-EE'!E4+'SAMPL5-CHX-EE'!N4))/(2.303*298.15*0.001987)</f>
        <v>-2.31138569</v>
      </c>
      <c r="G30" s="29">
        <f>(F4+O4-('SAMPL5-CHX-EE'!F4+'SAMPL5-CHX-EE'!O4))/(2.303*298.15*0.001987)</f>
        <v>-4.298742121</v>
      </c>
      <c r="H30" s="29">
        <f>(D4+P4-('SAMPL5-CHX-EE'!D4+'SAMPL5-CHX-EE'!P4))/(2.303*298.15*0.001987)</f>
        <v>-2.803220592</v>
      </c>
      <c r="I30" s="29">
        <f>(E4+Q4-('SAMPL5-CHX-EE'!E4+'SAMPL5-CHX-EE'!Q4))/(2.303*298.15*0.001987)</f>
        <v>-2.286920625</v>
      </c>
      <c r="J30" s="29">
        <f>(F4+R4-('SAMPL5-CHX-EE'!F4+'SAMPL5-CHX-EE'!R4))/(2.303*298.15*0.001987)</f>
        <v>-4.856841467</v>
      </c>
      <c r="K30" s="29">
        <f>(D4+S4-('SAMPL5-CHX-EE'!D4+'SAMPL5-CHX-EE'!S4))/(2.303*298.15*0.001987)</f>
        <v>-2.755810677</v>
      </c>
      <c r="L30" s="29">
        <f>(E4+T4-('SAMPL5-CHX-EE'!E4+'SAMPL5-CHX-EE'!T4))/(2.303*298.15*0.001987)</f>
        <v>-75.36785859</v>
      </c>
      <c r="M30" s="29">
        <f>(F4+U4-('SAMPL5-CHX-EE'!F4+'SAMPL5-CHX-EE'!U4))/(2.303*298.15*0.001987)</f>
        <v>-77.00259683</v>
      </c>
      <c r="N30" s="32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3" t="s">
        <v>68</v>
      </c>
      <c r="B31" s="29">
        <f>(D5+J5-('SAMPL5-CHX-EE'!D5+'SAMPL5-CHX-EE'!J5))/(2.303*298.15*0.001987)</f>
        <v>-0.7945939768</v>
      </c>
      <c r="C31" s="29">
        <f>(E5+K5-('SAMPL5-CHX-EE'!E5+'SAMPL5-CHX-EE'!K5))/(2.303*298.15*0.001987)</f>
        <v>-0.7783392684</v>
      </c>
      <c r="D31" s="29">
        <f>(F5+L5-('SAMPL5-CHX-EE'!F5+'SAMPL5-CHX-EE'!L5))/(2.303*298.15*0.001987)</f>
        <v>-0.7783382455</v>
      </c>
      <c r="E31" s="29">
        <f>(D5+M5-('SAMPL5-CHX-EE'!D5+'SAMPL5-CHX-EE'!M5))/(2.303*298.15*0.001987)</f>
        <v>-0.8481669986</v>
      </c>
      <c r="F31" s="29">
        <f>(E5+N5-('SAMPL5-CHX-EE'!E5+'SAMPL5-CHX-EE'!N5))/(2.303*298.15*0.001987)</f>
        <v>-0.8213625647</v>
      </c>
      <c r="G31" s="29">
        <f>(F5+O5-('SAMPL5-CHX-EE'!F5+'SAMPL5-CHX-EE'!O5))/(2.303*298.15*0.001987)</f>
        <v>-0.7251196567</v>
      </c>
      <c r="H31" s="29">
        <f>(D5+P5-('SAMPL5-CHX-EE'!D5+'SAMPL5-CHX-EE'!P5))/(2.303*298.15*0.001987)</f>
        <v>-0.1521378258</v>
      </c>
      <c r="I31" s="29">
        <f>(E5+Q5-('SAMPL5-CHX-EE'!E5+'SAMPL5-CHX-EE'!Q5))/(2.303*298.15*0.001987)</f>
        <v>-0.4109159063</v>
      </c>
      <c r="J31" s="29">
        <f>(F5+R5-('SAMPL5-CHX-EE'!F5+'SAMPL5-CHX-EE'!R5))/(2.303*298.15*0.001987)</f>
        <v>-0.2017576164</v>
      </c>
      <c r="K31" s="29">
        <f>(D5+S5-('SAMPL5-CHX-EE'!D5+'SAMPL5-CHX-EE'!S5))/(2.303*298.15*0.001987)</f>
        <v>-0.1654004405</v>
      </c>
      <c r="L31" s="29">
        <f>(E5+T5-('SAMPL5-CHX-EE'!E5+'SAMPL5-CHX-EE'!T5))/(2.303*298.15*0.001987)</f>
        <v>-84.1331478</v>
      </c>
      <c r="M31" s="29">
        <f>(F5+U5-('SAMPL5-CHX-EE'!F5+'SAMPL5-CHX-EE'!U5))/(2.303*298.15*0.001987)</f>
        <v>-83.96701777</v>
      </c>
      <c r="N31" s="35"/>
      <c r="O31" s="35"/>
      <c r="P31" s="35"/>
      <c r="Q31" s="35"/>
      <c r="R31" s="35"/>
      <c r="S31" s="23"/>
      <c r="T31" s="23"/>
      <c r="U31" s="23"/>
      <c r="V31" s="23"/>
      <c r="W31" s="23"/>
      <c r="X31" s="23"/>
      <c r="Y31" s="23"/>
      <c r="Z31" s="23"/>
    </row>
    <row r="32">
      <c r="A32" s="3" t="s">
        <v>69</v>
      </c>
      <c r="B32" s="29">
        <f>(D6+J6-('SAMPL5-CHX-EE'!D6+'SAMPL5-CHX-EE'!J6))/(2.303*298.15*0.001987)</f>
        <v>-1.78487382</v>
      </c>
      <c r="C32" s="29">
        <f>(E6+K6-('SAMPL5-CHX-EE'!E6+'SAMPL5-CHX-EE'!K6))/(2.303*298.15*0.001987)</f>
        <v>-1.125777855</v>
      </c>
      <c r="D32" s="29">
        <f>(F6+L6-('SAMPL5-CHX-EE'!F6+'SAMPL5-CHX-EE'!L6))/(2.303*298.15*0.001987)</f>
        <v>-1.956107738</v>
      </c>
      <c r="E32" s="29">
        <f>(D6+M6-('SAMPL5-CHX-EE'!D6+'SAMPL5-CHX-EE'!M6))/(2.303*298.15*0.001987)</f>
        <v>-1.755267437</v>
      </c>
      <c r="F32" s="29">
        <f>(E6+N6-('SAMPL5-CHX-EE'!E6+'SAMPL5-CHX-EE'!N6))/(2.303*298.15*0.001987)</f>
        <v>-1.708268768</v>
      </c>
      <c r="G32" s="29">
        <f>(F6+O6-('SAMPL5-CHX-EE'!F6+'SAMPL5-CHX-EE'!O6))/(2.303*298.15*0.001987)</f>
        <v>-1.798423787</v>
      </c>
      <c r="H32" s="29">
        <f>(D6+P6-('SAMPL5-CHX-EE'!D6+'SAMPL5-CHX-EE'!P6))/(2.303*298.15*0.001987)</f>
        <v>-1.599311668</v>
      </c>
      <c r="I32" s="29">
        <f>(E6+Q6-('SAMPL5-CHX-EE'!E6+'SAMPL5-CHX-EE'!Q6))/(2.303*298.15*0.001987)</f>
        <v>-1.658715779</v>
      </c>
      <c r="J32" s="29">
        <f>(F6+R6-('SAMPL5-CHX-EE'!F6+'SAMPL5-CHX-EE'!R6))/(2.303*298.15*0.001987)</f>
        <v>-1.74698531</v>
      </c>
      <c r="K32" s="29">
        <f>(D6+S6-('SAMPL5-CHX-EE'!D6+'SAMPL5-CHX-EE'!S6))/(2.303*298.15*0.001987)</f>
        <v>-1.573553186</v>
      </c>
      <c r="L32" s="29">
        <f>(E6+T6-('SAMPL5-CHX-EE'!E6+'SAMPL5-CHX-EE'!T6))/(2.303*298.15*0.001987)</f>
        <v>2.737179019</v>
      </c>
      <c r="M32" s="29">
        <f>(F6+U6-('SAMPL5-CHX-EE'!F6+'SAMPL5-CHX-EE'!U6))/(2.303*298.15*0.001987)</f>
        <v>2.592112441</v>
      </c>
      <c r="N32" s="32"/>
      <c r="O32" s="32"/>
      <c r="P32" s="32"/>
      <c r="Q32" s="32"/>
      <c r="R32" s="32"/>
      <c r="S32" s="23"/>
      <c r="T32" s="23"/>
      <c r="U32" s="23"/>
      <c r="V32" s="23"/>
      <c r="W32" s="23"/>
      <c r="X32" s="23"/>
      <c r="Y32" s="23"/>
      <c r="Z32" s="23"/>
    </row>
    <row r="33">
      <c r="A33" s="3" t="s">
        <v>70</v>
      </c>
      <c r="B33" s="29">
        <f>(D7+J7-('SAMPL5-CHX-EE'!D7+'SAMPL5-CHX-EE'!J7))/(2.303*298.15*0.001987)</f>
        <v>-0.1620744429</v>
      </c>
      <c r="C33" s="29">
        <f>(E7+K7-('SAMPL5-CHX-EE'!E7+'SAMPL5-CHX-EE'!K7))/(2.303*298.15*0.001987)</f>
        <v>-0.4798469027</v>
      </c>
      <c r="D33" s="29">
        <f>(F7+L7-('SAMPL5-CHX-EE'!F7+'SAMPL5-CHX-EE'!L7))/(2.303*298.15*0.001987)</f>
        <v>-0.5852029032</v>
      </c>
      <c r="E33" s="29">
        <f>(D7+M7-('SAMPL5-CHX-EE'!D7+'SAMPL5-CHX-EE'!M7))/(2.303*298.15*0.001987)</f>
        <v>-0.501484949</v>
      </c>
      <c r="F33" s="29">
        <f>(E7+N7-('SAMPL5-CHX-EE'!E7+'SAMPL5-CHX-EE'!N7))/(2.303*298.15*0.001987)</f>
        <v>-0.3683498452</v>
      </c>
      <c r="G33" s="29">
        <f>(F7+O7-('SAMPL5-CHX-EE'!F7+'SAMPL5-CHX-EE'!O7))/(2.303*298.15*0.001987)</f>
        <v>-0.4826823013</v>
      </c>
      <c r="H33" s="29">
        <f>(D7+P7-('SAMPL5-CHX-EE'!D7+'SAMPL5-CHX-EE'!P7))/(2.303*298.15*0.001987)</f>
        <v>0.0490759128</v>
      </c>
      <c r="I33" s="29">
        <f>(E7+Q7-('SAMPL5-CHX-EE'!E7+'SAMPL5-CHX-EE'!Q7))/(2.303*298.15*0.001987)</f>
        <v>0.02956420578</v>
      </c>
      <c r="J33" s="29">
        <f>(F7+R7-('SAMPL5-CHX-EE'!F7+'SAMPL5-CHX-EE'!R7))/(2.303*298.15*0.001987)</f>
        <v>-0.06495068134</v>
      </c>
      <c r="K33" s="29">
        <f>(D7+S7-('SAMPL5-CHX-EE'!D7+'SAMPL5-CHX-EE'!S7))/(2.303*298.15*0.001987)</f>
        <v>0.09823744677</v>
      </c>
      <c r="L33" s="29">
        <f>(E7+T7-('SAMPL5-CHX-EE'!E7+'SAMPL5-CHX-EE'!T7))/(2.303*298.15*0.001987)</f>
        <v>-125.0615804</v>
      </c>
      <c r="M33" s="29">
        <f>(F7+U7-('SAMPL5-CHX-EE'!F7+'SAMPL5-CHX-EE'!U7))/(2.303*298.15*0.001987)</f>
        <v>2.056355413</v>
      </c>
      <c r="N33" s="32"/>
      <c r="O33" s="32"/>
      <c r="P33" s="32"/>
      <c r="Q33" s="32"/>
      <c r="R33" s="32"/>
      <c r="S33" s="23"/>
      <c r="T33" s="23"/>
      <c r="U33" s="23"/>
      <c r="V33" s="23"/>
      <c r="W33" s="23"/>
      <c r="X33" s="23"/>
      <c r="Y33" s="23"/>
      <c r="Z33" s="23"/>
    </row>
    <row r="34">
      <c r="A34" s="3" t="s">
        <v>71</v>
      </c>
      <c r="B34" s="29">
        <f>(D8+J8-('SAMPL5-CHX-EE'!D8+'SAMPL5-CHX-EE'!J8))/(2.303*298.15*0.001987)</f>
        <v>-3.778110152</v>
      </c>
      <c r="C34" s="29">
        <f>(E8+K8-('SAMPL5-CHX-EE'!E8+'SAMPL5-CHX-EE'!K8))/(2.303*298.15*0.001987)</f>
        <v>-3.433721327</v>
      </c>
      <c r="D34" s="29" t="str">
        <f>(F8+L8-('SAMPL5-CHX-EE'!F8+'SAMPL5-CHX-EE'!L8))/(2.303*298.15*0.001987)</f>
        <v>#VALUE!</v>
      </c>
      <c r="E34" s="29">
        <f>(D8+M8-('SAMPL5-CHX-EE'!D8+'SAMPL5-CHX-EE'!M8))/(2.303*298.15*0.001987)</f>
        <v>-3.616229402</v>
      </c>
      <c r="F34" s="29">
        <f>(E8+N8-('SAMPL5-CHX-EE'!E8+'SAMPL5-CHX-EE'!N8))/(2.303*298.15*0.001987)</f>
        <v>-3.033838474</v>
      </c>
      <c r="G34" s="29">
        <f>(F8+O8-('SAMPL5-CHX-EE'!F8+'SAMPL5-CHX-EE'!O8))/(2.303*298.15*0.001987)</f>
        <v>-3.22056695</v>
      </c>
      <c r="H34" s="29">
        <f>(D8+P8-('SAMPL5-CHX-EE'!D8+'SAMPL5-CHX-EE'!P8))/(2.303*298.15*0.001987)</f>
        <v>-3.739525466</v>
      </c>
      <c r="I34" s="29">
        <f>(E8+Q8-('SAMPL5-CHX-EE'!E8+'SAMPL5-CHX-EE'!Q8))/(2.303*298.15*0.001987)</f>
        <v>-3.679852979</v>
      </c>
      <c r="J34" s="29">
        <f>(F8+R8-('SAMPL5-CHX-EE'!F8+'SAMPL5-CHX-EE'!R8))/(2.303*298.15*0.001987)</f>
        <v>-3.527090708</v>
      </c>
      <c r="K34" s="29">
        <f>(D8+S8-('SAMPL5-CHX-EE'!D8+'SAMPL5-CHX-EE'!S8))/(2.303*298.15*0.001987)</f>
        <v>-3.887293011</v>
      </c>
      <c r="L34" s="29">
        <f>(E8+T8-('SAMPL5-CHX-EE'!E8+'SAMPL5-CHX-EE'!T8))/(2.303*298.15*0.001987)</f>
        <v>-201.0621011</v>
      </c>
      <c r="M34" s="29">
        <f>(F8+U8-('SAMPL5-CHX-EE'!F8+'SAMPL5-CHX-EE'!U8))/(2.303*298.15*0.001987)</f>
        <v>4.000050158</v>
      </c>
      <c r="N34" s="32"/>
      <c r="O34" s="32"/>
      <c r="P34" s="32"/>
      <c r="Q34" s="32"/>
      <c r="R34" s="32"/>
      <c r="S34" s="23"/>
      <c r="T34" s="23"/>
      <c r="U34" s="23"/>
      <c r="V34" s="23"/>
      <c r="W34" s="23"/>
      <c r="X34" s="23"/>
      <c r="Y34" s="23"/>
      <c r="Z34" s="23"/>
    </row>
    <row r="35">
      <c r="A35" s="3" t="s">
        <v>73</v>
      </c>
      <c r="B35" s="29">
        <f>(D9+J9-('SAMPL5-CHX-EE'!D9+'SAMPL5-CHX-EE'!J9))/(2.303*298.15*0.001987)</f>
        <v>0.4792801598</v>
      </c>
      <c r="C35" s="29">
        <f>(E9+K9-('SAMPL5-CHX-EE'!E9+'SAMPL5-CHX-EE'!K9))/(2.303*298.15*0.001987)</f>
        <v>0.6438388192</v>
      </c>
      <c r="D35" s="29">
        <f>(F9+L9-('SAMPL5-CHX-EE'!F9+'SAMPL5-CHX-EE'!L9))/(2.303*298.15*0.001987)</f>
        <v>0.3949713505</v>
      </c>
      <c r="E35" s="29">
        <f>(D9+M9-('SAMPL5-CHX-EE'!D9+'SAMPL5-CHX-EE'!M9))/(2.303*298.15*0.001987)</f>
        <v>0.4912848372</v>
      </c>
      <c r="F35" s="29">
        <f>(E9+N9-('SAMPL5-CHX-EE'!E9+'SAMPL5-CHX-EE'!N9))/(2.303*298.15*0.001987)</f>
        <v>0.7488807826</v>
      </c>
      <c r="G35" s="29">
        <f>(F9+O9-('SAMPL5-CHX-EE'!F9+'SAMPL5-CHX-EE'!O9))/(2.303*298.15*0.001987)</f>
        <v>0.3698897327</v>
      </c>
      <c r="H35" s="29">
        <f>(D9+P9-('SAMPL5-CHX-EE'!D9+'SAMPL5-CHX-EE'!P9))/(2.303*298.15*0.001987)</f>
        <v>0.1858957795</v>
      </c>
      <c r="I35" s="29">
        <f>(E9+Q9-('SAMPL5-CHX-EE'!E9+'SAMPL5-CHX-EE'!Q9))/(2.303*298.15*0.001987)</f>
        <v>-0.02967228053</v>
      </c>
      <c r="J35" s="29" t="str">
        <f>(F9+R9-('SAMPL5-CHX-EE'!F9+'SAMPL5-CHX-EE'!R9))/(2.303*298.15*0.001987)</f>
        <v>#VALUE!</v>
      </c>
      <c r="K35" s="29">
        <f>(D9+S9-('SAMPL5-CHX-EE'!D9+'SAMPL5-CHX-EE'!S9))/(2.303*298.15*0.001987)</f>
        <v>0.3088183208</v>
      </c>
      <c r="L35" s="29">
        <f>(E9+T9-('SAMPL5-CHX-EE'!E9+'SAMPL5-CHX-EE'!T9))/(2.303*298.15*0.001987)</f>
        <v>-130.1667609</v>
      </c>
      <c r="M35" s="29">
        <f>(F9+U9-('SAMPL5-CHX-EE'!F9+'SAMPL5-CHX-EE'!U9))/(2.303*298.15*0.001987)</f>
        <v>1.541300225</v>
      </c>
      <c r="N35" s="32"/>
      <c r="O35" s="32"/>
      <c r="P35" s="32"/>
      <c r="Q35" s="32"/>
      <c r="R35" s="32"/>
      <c r="S35" s="23"/>
      <c r="T35" s="23"/>
      <c r="U35" s="23"/>
      <c r="V35" s="23"/>
      <c r="W35" s="23"/>
      <c r="X35" s="23"/>
      <c r="Y35" s="23"/>
      <c r="Z35" s="23"/>
    </row>
    <row r="36">
      <c r="A36" s="3" t="s">
        <v>74</v>
      </c>
      <c r="B36" s="29">
        <f>(D10+J10-('SAMPL5-CHX-EE'!D10+'SAMPL5-CHX-EE'!J10))/(2.303*298.15*0.001987)</f>
        <v>-10.57716343</v>
      </c>
      <c r="C36" s="29">
        <f>(E10+K10-('SAMPL5-CHX-EE'!E10+'SAMPL5-CHX-EE'!K10))/(2.303*298.15*0.001987)</f>
        <v>-5.472800483</v>
      </c>
      <c r="D36" s="29">
        <f>(F10+L10-('SAMPL5-CHX-EE'!F10+'SAMPL5-CHX-EE'!L10))/(2.303*298.15*0.001987)</f>
        <v>-4.859011937</v>
      </c>
      <c r="E36" s="29">
        <f>(D10+M10-('SAMPL5-CHX-EE'!D10+'SAMPL5-CHX-EE'!M10))/(2.303*298.15*0.001987)</f>
        <v>-5.983240987</v>
      </c>
      <c r="F36" s="29">
        <f>(E10+N10-('SAMPL5-CHX-EE'!E10+'SAMPL5-CHX-EE'!N10))/(2.303*298.15*0.001987)</f>
        <v>-5.945698252</v>
      </c>
      <c r="G36" s="29">
        <f>(F10+O10-('SAMPL5-CHX-EE'!F10+'SAMPL5-CHX-EE'!O10))/(2.303*298.15*0.001987)</f>
        <v>-6.405407464</v>
      </c>
      <c r="H36" s="29">
        <f>(D10+P10-('SAMPL5-CHX-EE'!D10+'SAMPL5-CHX-EE'!P10))/(2.303*298.15*0.001987)</f>
        <v>-11.37284243</v>
      </c>
      <c r="I36" s="29">
        <f>(E10+Q10-('SAMPL5-CHX-EE'!E10+'SAMPL5-CHX-EE'!Q10))/(2.303*298.15*0.001987)</f>
        <v>-10.845292</v>
      </c>
      <c r="J36" s="29">
        <f>(F10+R10-('SAMPL5-CHX-EE'!F10+'SAMPL5-CHX-EE'!R10))/(2.303*298.15*0.001987)</f>
        <v>-12.13753432</v>
      </c>
      <c r="K36" s="29">
        <f>(D10+S10-('SAMPL5-CHX-EE'!D10+'SAMPL5-CHX-EE'!S10))/(2.303*298.15*0.001987)</f>
        <v>-14.76391946</v>
      </c>
      <c r="L36" s="29">
        <f>(E10+T10-('SAMPL5-CHX-EE'!E10+'SAMPL5-CHX-EE'!T10))/(2.303*298.15*0.001987)</f>
        <v>-108.5122277</v>
      </c>
      <c r="M36" s="29">
        <f>(F10+U10-('SAMPL5-CHX-EE'!F10+'SAMPL5-CHX-EE'!U10))/(2.303*298.15*0.001987)</f>
        <v>-5.901157071</v>
      </c>
      <c r="N36" s="32"/>
      <c r="O36" s="32"/>
      <c r="P36" s="32"/>
      <c r="Q36" s="32"/>
      <c r="R36" s="32"/>
      <c r="S36" s="23"/>
      <c r="T36" s="23"/>
      <c r="U36" s="23"/>
      <c r="V36" s="23"/>
      <c r="W36" s="23"/>
      <c r="X36" s="23"/>
      <c r="Y36" s="23"/>
      <c r="Z36" s="23"/>
    </row>
    <row r="37">
      <c r="A37" s="3" t="s">
        <v>75</v>
      </c>
      <c r="B37" s="29">
        <f>(D11+J11-('SAMPL5-CHX-EE'!D11+'SAMPL5-CHX-EE'!J11))/(2.303*298.15*0.001987)</f>
        <v>-1.218506122</v>
      </c>
      <c r="C37" s="29">
        <f>(E11+K11-('SAMPL5-CHX-EE'!E11+'SAMPL5-CHX-EE'!K11))/(2.303*298.15*0.001987)</f>
        <v>-2.099389164</v>
      </c>
      <c r="D37" s="29">
        <f>(F11+L11-('SAMPL5-CHX-EE'!F11+'SAMPL5-CHX-EE'!L11))/(2.303*298.15*0.001987)</f>
        <v>-2.169765156</v>
      </c>
      <c r="E37" s="29">
        <f>(D11+M11-('SAMPL5-CHX-EE'!D11+'SAMPL5-CHX-EE'!M11))/(2.303*298.15*0.001987)</f>
        <v>-2.213111675</v>
      </c>
      <c r="F37" s="29">
        <f>(E11+N11-('SAMPL5-CHX-EE'!E11+'SAMPL5-CHX-EE'!N11))/(2.303*298.15*0.001987)</f>
        <v>-2.231654962</v>
      </c>
      <c r="G37" s="29">
        <f>(F11+O11-('SAMPL5-CHX-EE'!F11+'SAMPL5-CHX-EE'!O11))/(2.303*298.15*0.001987)</f>
        <v>-2.158715461</v>
      </c>
      <c r="H37" s="29">
        <f>(D11+P11-('SAMPL5-CHX-EE'!D11+'SAMPL5-CHX-EE'!P11))/(2.303*298.15*0.001987)</f>
        <v>-0.6575871673</v>
      </c>
      <c r="I37" s="29">
        <f>(E11+Q11-('SAMPL5-CHX-EE'!E11+'SAMPL5-CHX-EE'!Q11))/(2.303*298.15*0.001987)</f>
        <v>-0.7252420574</v>
      </c>
      <c r="J37" s="29">
        <f>(F11+R11-('SAMPL5-CHX-EE'!F11+'SAMPL5-CHX-EE'!R11))/(2.303*298.15*0.001987)</f>
        <v>-0.9744240884</v>
      </c>
      <c r="K37" s="29">
        <f>(D11+S11-('SAMPL5-CHX-EE'!D11+'SAMPL5-CHX-EE'!S11))/(2.303*298.15*0.001987)</f>
        <v>-0.8081337806</v>
      </c>
      <c r="L37" s="29">
        <f>(E11+T11-('SAMPL5-CHX-EE'!E11+'SAMPL5-CHX-EE'!T11))/(2.303*298.15*0.001987)</f>
        <v>-51.3436474</v>
      </c>
      <c r="M37" s="29">
        <f>(F11+U11-('SAMPL5-CHX-EE'!F11+'SAMPL5-CHX-EE'!U11))/(2.303*298.15*0.001987)</f>
        <v>-3.474901824</v>
      </c>
      <c r="N37" s="32"/>
      <c r="O37" s="32"/>
      <c r="P37" s="32"/>
      <c r="Q37" s="32"/>
      <c r="R37" s="32"/>
      <c r="S37" s="23"/>
      <c r="T37" s="23"/>
      <c r="U37" s="23"/>
      <c r="V37" s="23"/>
      <c r="W37" s="23"/>
      <c r="X37" s="23"/>
      <c r="Y37" s="23"/>
      <c r="Z37" s="23"/>
    </row>
    <row r="38">
      <c r="A38" s="5" t="s">
        <v>76</v>
      </c>
      <c r="B38" s="29">
        <f>(D12+J12-('SAMPL5-CHX-EE'!D12+'SAMPL5-CHX-EE'!J12))/(2.303*298.15*0.001987)</f>
        <v>0.9788722047</v>
      </c>
      <c r="C38" s="29">
        <f>(E12+K12-('SAMPL5-CHX-EE'!E12+'SAMPL5-CHX-EE'!K12))/(2.303*298.15*0.001987)</f>
        <v>-0.515680793</v>
      </c>
      <c r="D38" s="29">
        <f>(F12+L12-('SAMPL5-CHX-EE'!F12+'SAMPL5-CHX-EE'!L12))/(2.303*298.15*0.001987)</f>
        <v>-1.025124026</v>
      </c>
      <c r="E38" s="29">
        <f>(D12+M12-('SAMPL5-CHX-EE'!D12+'SAMPL5-CHX-EE'!M12))/(2.303*298.15*0.001987)</f>
        <v>-0.3207318269</v>
      </c>
      <c r="F38" s="29">
        <f>(E12+N12-('SAMPL5-CHX-EE'!E12+'SAMPL5-CHX-EE'!N12))/(2.303*298.15*0.001987)</f>
        <v>-0.3193596424</v>
      </c>
      <c r="G38" s="29">
        <f>(F12+O12-('SAMPL5-CHX-EE'!F12+'SAMPL5-CHX-EE'!O12))/(2.303*298.15*0.001987)</f>
        <v>-0.4246346369</v>
      </c>
      <c r="H38" s="29">
        <f>(D12+P12-('SAMPL5-CHX-EE'!D12+'SAMPL5-CHX-EE'!P12))/(2.303*298.15*0.001987)</f>
        <v>-0.3532689931</v>
      </c>
      <c r="I38" s="29">
        <f>(E12+Q12-('SAMPL5-CHX-EE'!E12+'SAMPL5-CHX-EE'!Q12))/(2.303*298.15*0.001987)</f>
        <v>-0.1964600768</v>
      </c>
      <c r="J38" s="29">
        <f>(F12+R12-('SAMPL5-CHX-EE'!F12+'SAMPL5-CHX-EE'!R12))/(2.303*298.15*0.001987)</f>
        <v>211.302764</v>
      </c>
      <c r="K38" s="29">
        <f>(D12+S12-('SAMPL5-CHX-EE'!D12+'SAMPL5-CHX-EE'!S12))/(2.303*298.15*0.001987)</f>
        <v>-0.3422519743</v>
      </c>
      <c r="L38" s="29">
        <f>(E12+T12-('SAMPL5-CHX-EE'!E12+'SAMPL5-CHX-EE'!T12))/(2.303*298.15*0.001987)</f>
        <v>-208.4805427</v>
      </c>
      <c r="M38" s="29">
        <f>(F12+U12-('SAMPL5-CHX-EE'!F12+'SAMPL5-CHX-EE'!U12))/(2.303*298.15*0.001987)</f>
        <v>4.559588038</v>
      </c>
      <c r="N38" s="32"/>
      <c r="O38" s="32"/>
      <c r="P38" s="32"/>
      <c r="Q38" s="32"/>
      <c r="R38" s="32"/>
      <c r="S38" s="23"/>
      <c r="T38" s="23"/>
      <c r="U38" s="23"/>
      <c r="V38" s="23"/>
      <c r="W38" s="23"/>
      <c r="X38" s="23"/>
      <c r="Y38" s="23"/>
      <c r="Z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35"/>
      <c r="N39" s="32"/>
      <c r="O39" s="32"/>
      <c r="P39" s="32"/>
      <c r="Q39" s="32"/>
      <c r="R39" s="32"/>
      <c r="S39" s="23"/>
      <c r="T39" s="23"/>
      <c r="U39" s="23"/>
      <c r="V39" s="23"/>
      <c r="W39" s="23"/>
      <c r="X39" s="23"/>
      <c r="Y39" s="23"/>
      <c r="Z39" s="23"/>
    </row>
    <row r="40">
      <c r="A40" s="3" t="s">
        <v>66</v>
      </c>
      <c r="B40" s="29">
        <f t="shared" ref="B40:M40" si="11">ABS(B29-$L17)</f>
        <v>0.1568628574</v>
      </c>
      <c r="C40" s="29">
        <f t="shared" si="11"/>
        <v>2.422717895</v>
      </c>
      <c r="D40" s="29">
        <f t="shared" si="11"/>
        <v>2.506618717</v>
      </c>
      <c r="E40" s="29">
        <f t="shared" si="11"/>
        <v>2.62882568</v>
      </c>
      <c r="F40" s="29">
        <f t="shared" si="11"/>
        <v>3157.995272</v>
      </c>
      <c r="G40" s="29">
        <f t="shared" si="11"/>
        <v>3158.963814</v>
      </c>
      <c r="H40" s="29">
        <f t="shared" si="11"/>
        <v>1.094159069</v>
      </c>
      <c r="I40" s="29">
        <f t="shared" si="11"/>
        <v>2.542343598</v>
      </c>
      <c r="J40" s="29">
        <f t="shared" si="11"/>
        <v>1.618495505</v>
      </c>
      <c r="K40" s="29">
        <f t="shared" si="11"/>
        <v>1.287193776</v>
      </c>
      <c r="L40" s="29">
        <f t="shared" si="11"/>
        <v>67.55122967</v>
      </c>
      <c r="M40" s="29">
        <f t="shared" si="11"/>
        <v>1.168924934</v>
      </c>
      <c r="N40" s="32"/>
      <c r="O40" s="32"/>
      <c r="P40" s="32"/>
      <c r="Q40" s="32"/>
      <c r="R40" s="32"/>
      <c r="S40" s="23"/>
      <c r="T40" s="23"/>
      <c r="U40" s="23"/>
      <c r="V40" s="23"/>
      <c r="W40" s="23"/>
      <c r="X40" s="23"/>
      <c r="Y40" s="23"/>
      <c r="Z40" s="23"/>
    </row>
    <row r="41">
      <c r="A41" s="3" t="s">
        <v>67</v>
      </c>
      <c r="B41" s="29">
        <f t="shared" ref="B41:M41" si="12">ABS(B30-$L18)</f>
        <v>3.534784129</v>
      </c>
      <c r="C41" s="29">
        <f t="shared" si="12"/>
        <v>2.882267396</v>
      </c>
      <c r="D41" s="29">
        <f t="shared" si="12"/>
        <v>5.931762983</v>
      </c>
      <c r="E41" s="29">
        <f t="shared" si="12"/>
        <v>4.260496766</v>
      </c>
      <c r="F41" s="29">
        <f t="shared" si="12"/>
        <v>4.01138569</v>
      </c>
      <c r="G41" s="29">
        <f t="shared" si="12"/>
        <v>5.998742121</v>
      </c>
      <c r="H41" s="29">
        <f t="shared" si="12"/>
        <v>4.503220592</v>
      </c>
      <c r="I41" s="29">
        <f t="shared" si="12"/>
        <v>3.986920625</v>
      </c>
      <c r="J41" s="29">
        <f t="shared" si="12"/>
        <v>6.556841467</v>
      </c>
      <c r="K41" s="29">
        <f t="shared" si="12"/>
        <v>4.455810677</v>
      </c>
      <c r="L41" s="29">
        <f t="shared" si="12"/>
        <v>77.06785859</v>
      </c>
      <c r="M41" s="29">
        <f t="shared" si="12"/>
        <v>78.70259683</v>
      </c>
      <c r="N41" s="32"/>
      <c r="O41" s="32"/>
      <c r="P41" s="32"/>
      <c r="Q41" s="32"/>
      <c r="R41" s="32"/>
      <c r="S41" s="23"/>
      <c r="T41" s="23"/>
      <c r="U41" s="23"/>
      <c r="V41" s="23"/>
      <c r="W41" s="23"/>
      <c r="X41" s="23"/>
      <c r="Y41" s="23"/>
      <c r="Z41" s="23"/>
    </row>
    <row r="42">
      <c r="A42" s="3" t="s">
        <v>68</v>
      </c>
      <c r="B42" s="29">
        <f t="shared" ref="B42:M42" si="13">ABS(B31-$L19)</f>
        <v>1.994593977</v>
      </c>
      <c r="C42" s="29">
        <f t="shared" si="13"/>
        <v>1.978339268</v>
      </c>
      <c r="D42" s="29">
        <f t="shared" si="13"/>
        <v>1.978338246</v>
      </c>
      <c r="E42" s="29">
        <f t="shared" si="13"/>
        <v>2.048166999</v>
      </c>
      <c r="F42" s="29">
        <f t="shared" si="13"/>
        <v>2.021362565</v>
      </c>
      <c r="G42" s="29">
        <f t="shared" si="13"/>
        <v>1.925119657</v>
      </c>
      <c r="H42" s="29">
        <f t="shared" si="13"/>
        <v>1.352137826</v>
      </c>
      <c r="I42" s="29">
        <f t="shared" si="13"/>
        <v>1.610915906</v>
      </c>
      <c r="J42" s="29">
        <f t="shared" si="13"/>
        <v>1.401757616</v>
      </c>
      <c r="K42" s="29">
        <f t="shared" si="13"/>
        <v>1.365400441</v>
      </c>
      <c r="L42" s="29">
        <f t="shared" si="13"/>
        <v>85.3331478</v>
      </c>
      <c r="M42" s="29">
        <f t="shared" si="13"/>
        <v>85.16701777</v>
      </c>
      <c r="N42" s="32"/>
      <c r="O42" s="32"/>
      <c r="P42" s="32"/>
      <c r="Q42" s="32"/>
      <c r="R42" s="32"/>
      <c r="S42" s="23"/>
      <c r="T42" s="23"/>
      <c r="U42" s="23"/>
      <c r="V42" s="23"/>
      <c r="W42" s="23"/>
      <c r="X42" s="23"/>
      <c r="Y42" s="23"/>
      <c r="Z42" s="23"/>
    </row>
    <row r="43">
      <c r="A43" s="3" t="s">
        <v>69</v>
      </c>
      <c r="B43" s="29">
        <f t="shared" ref="B43:M43" si="14">ABS(B32-$L20)</f>
        <v>1.98487382</v>
      </c>
      <c r="C43" s="29">
        <f t="shared" si="14"/>
        <v>1.325777855</v>
      </c>
      <c r="D43" s="29">
        <f t="shared" si="14"/>
        <v>2.156107738</v>
      </c>
      <c r="E43" s="29">
        <f t="shared" si="14"/>
        <v>1.955267437</v>
      </c>
      <c r="F43" s="29">
        <f t="shared" si="14"/>
        <v>1.908268768</v>
      </c>
      <c r="G43" s="29">
        <f t="shared" si="14"/>
        <v>1.998423787</v>
      </c>
      <c r="H43" s="29">
        <f t="shared" si="14"/>
        <v>1.799311668</v>
      </c>
      <c r="I43" s="29">
        <f t="shared" si="14"/>
        <v>1.858715779</v>
      </c>
      <c r="J43" s="29">
        <f t="shared" si="14"/>
        <v>1.94698531</v>
      </c>
      <c r="K43" s="29">
        <f t="shared" si="14"/>
        <v>1.773553186</v>
      </c>
      <c r="L43" s="29">
        <f t="shared" si="14"/>
        <v>2.537179019</v>
      </c>
      <c r="M43" s="29">
        <f t="shared" si="14"/>
        <v>2.392112441</v>
      </c>
      <c r="N43" s="32"/>
      <c r="O43" s="32"/>
      <c r="P43" s="32"/>
      <c r="Q43" s="32"/>
      <c r="R43" s="32"/>
      <c r="S43" s="23"/>
      <c r="T43" s="23"/>
      <c r="U43" s="23"/>
      <c r="V43" s="23"/>
      <c r="W43" s="23"/>
      <c r="X43" s="23"/>
      <c r="Y43" s="23"/>
      <c r="Z43" s="23"/>
    </row>
    <row r="44">
      <c r="A44" s="3" t="s">
        <v>70</v>
      </c>
      <c r="B44" s="29">
        <f t="shared" ref="B44:M44" si="15">ABS(B33-$L21)</f>
        <v>0.9620744429</v>
      </c>
      <c r="C44" s="29">
        <f t="shared" si="15"/>
        <v>1.279846903</v>
      </c>
      <c r="D44" s="29">
        <f t="shared" si="15"/>
        <v>1.385202903</v>
      </c>
      <c r="E44" s="29">
        <f t="shared" si="15"/>
        <v>1.301484949</v>
      </c>
      <c r="F44" s="29">
        <f t="shared" si="15"/>
        <v>1.168349845</v>
      </c>
      <c r="G44" s="29">
        <f t="shared" si="15"/>
        <v>1.282682301</v>
      </c>
      <c r="H44" s="29">
        <f t="shared" si="15"/>
        <v>0.7509240872</v>
      </c>
      <c r="I44" s="29">
        <f t="shared" si="15"/>
        <v>0.7704357942</v>
      </c>
      <c r="J44" s="29">
        <f t="shared" si="15"/>
        <v>0.8649506813</v>
      </c>
      <c r="K44" s="29">
        <f t="shared" si="15"/>
        <v>0.7017625532</v>
      </c>
      <c r="L44" s="29">
        <f t="shared" si="15"/>
        <v>125.8615804</v>
      </c>
      <c r="M44" s="29">
        <f t="shared" si="15"/>
        <v>1.256355413</v>
      </c>
      <c r="N44" s="32"/>
      <c r="O44" s="32"/>
      <c r="P44" s="32"/>
      <c r="Q44" s="32"/>
      <c r="R44" s="32"/>
      <c r="S44" s="23"/>
      <c r="T44" s="23"/>
      <c r="U44" s="23"/>
      <c r="V44" s="23"/>
      <c r="W44" s="23"/>
      <c r="X44" s="23"/>
      <c r="Y44" s="23"/>
      <c r="Z44" s="23"/>
    </row>
    <row r="45">
      <c r="A45" s="3" t="s">
        <v>71</v>
      </c>
      <c r="B45" s="29">
        <f t="shared" ref="B45:M45" si="16">ABS(B34-$L22)</f>
        <v>5.178110152</v>
      </c>
      <c r="C45" s="29">
        <f t="shared" si="16"/>
        <v>4.833721327</v>
      </c>
      <c r="D45" s="29" t="str">
        <f t="shared" si="16"/>
        <v>#VALUE!</v>
      </c>
      <c r="E45" s="29">
        <f t="shared" si="16"/>
        <v>5.016229402</v>
      </c>
      <c r="F45" s="29">
        <f t="shared" si="16"/>
        <v>4.433838474</v>
      </c>
      <c r="G45" s="29">
        <f t="shared" si="16"/>
        <v>4.62056695</v>
      </c>
      <c r="H45" s="29">
        <f t="shared" si="16"/>
        <v>5.139525466</v>
      </c>
      <c r="I45" s="29">
        <f t="shared" si="16"/>
        <v>5.079852979</v>
      </c>
      <c r="J45" s="29">
        <f t="shared" si="16"/>
        <v>4.927090708</v>
      </c>
      <c r="K45" s="29">
        <f t="shared" si="16"/>
        <v>5.287293011</v>
      </c>
      <c r="L45" s="29">
        <f t="shared" si="16"/>
        <v>202.4621011</v>
      </c>
      <c r="M45" s="29">
        <f t="shared" si="16"/>
        <v>2.600050158</v>
      </c>
      <c r="N45" s="32"/>
      <c r="O45" s="32"/>
      <c r="P45" s="32"/>
      <c r="Q45" s="32"/>
      <c r="R45" s="32"/>
      <c r="S45" s="23"/>
      <c r="T45" s="23"/>
      <c r="U45" s="23"/>
      <c r="V45" s="23"/>
      <c r="W45" s="23"/>
      <c r="X45" s="23"/>
      <c r="Y45" s="23"/>
      <c r="Z45" s="23"/>
    </row>
    <row r="46">
      <c r="A46" s="3" t="s">
        <v>73</v>
      </c>
      <c r="B46" s="29">
        <f t="shared" ref="B46:M46" si="17">ABS(B35-$L23)</f>
        <v>0.4792801598</v>
      </c>
      <c r="C46" s="29">
        <f t="shared" si="17"/>
        <v>0.6438388192</v>
      </c>
      <c r="D46" s="29">
        <f t="shared" si="17"/>
        <v>0.3949713505</v>
      </c>
      <c r="E46" s="29">
        <f t="shared" si="17"/>
        <v>0.4912848372</v>
      </c>
      <c r="F46" s="29">
        <f t="shared" si="17"/>
        <v>0.7488807826</v>
      </c>
      <c r="G46" s="29">
        <f t="shared" si="17"/>
        <v>0.3698897327</v>
      </c>
      <c r="H46" s="29">
        <f t="shared" si="17"/>
        <v>0.1858957795</v>
      </c>
      <c r="I46" s="29">
        <f t="shared" si="17"/>
        <v>0.02967228053</v>
      </c>
      <c r="J46" s="29" t="str">
        <f t="shared" si="17"/>
        <v>#VALUE!</v>
      </c>
      <c r="K46" s="29">
        <f t="shared" si="17"/>
        <v>0.3088183208</v>
      </c>
      <c r="L46" s="29">
        <f t="shared" si="17"/>
        <v>130.1667609</v>
      </c>
      <c r="M46" s="29">
        <f t="shared" si="17"/>
        <v>1.541300225</v>
      </c>
      <c r="N46" s="32"/>
      <c r="O46" s="32"/>
      <c r="P46" s="32"/>
      <c r="Q46" s="32"/>
      <c r="R46" s="32"/>
      <c r="S46" s="23"/>
      <c r="T46" s="23"/>
      <c r="U46" s="23"/>
      <c r="V46" s="23"/>
      <c r="W46" s="23"/>
      <c r="X46" s="23"/>
      <c r="Y46" s="23"/>
      <c r="Z46" s="23"/>
    </row>
    <row r="47">
      <c r="A47" s="3" t="s">
        <v>74</v>
      </c>
      <c r="B47" s="29">
        <f t="shared" ref="B47:M47" si="18">ABS(B36-$L24)</f>
        <v>8.677163427</v>
      </c>
      <c r="C47" s="29">
        <f t="shared" si="18"/>
        <v>3.572800483</v>
      </c>
      <c r="D47" s="29">
        <f t="shared" si="18"/>
        <v>2.959011937</v>
      </c>
      <c r="E47" s="29">
        <f t="shared" si="18"/>
        <v>4.083240987</v>
      </c>
      <c r="F47" s="29">
        <f t="shared" si="18"/>
        <v>4.045698252</v>
      </c>
      <c r="G47" s="29">
        <f t="shared" si="18"/>
        <v>4.505407464</v>
      </c>
      <c r="H47" s="29">
        <f t="shared" si="18"/>
        <v>9.472842434</v>
      </c>
      <c r="I47" s="29">
        <f t="shared" si="18"/>
        <v>8.945292005</v>
      </c>
      <c r="J47" s="29">
        <f t="shared" si="18"/>
        <v>10.23753432</v>
      </c>
      <c r="K47" s="29">
        <f t="shared" si="18"/>
        <v>12.86391946</v>
      </c>
      <c r="L47" s="29">
        <f t="shared" si="18"/>
        <v>106.6122277</v>
      </c>
      <c r="M47" s="29">
        <f t="shared" si="18"/>
        <v>4.001157071</v>
      </c>
      <c r="N47" s="32"/>
      <c r="O47" s="32"/>
      <c r="P47" s="32"/>
      <c r="Q47" s="32"/>
      <c r="R47" s="32"/>
      <c r="S47" s="23"/>
      <c r="T47" s="23"/>
      <c r="U47" s="23"/>
      <c r="V47" s="23"/>
      <c r="W47" s="23"/>
      <c r="X47" s="23"/>
      <c r="Y47" s="23"/>
      <c r="Z47" s="23"/>
    </row>
    <row r="48">
      <c r="A48" s="3" t="s">
        <v>75</v>
      </c>
      <c r="B48" s="29">
        <f t="shared" ref="B48:M48" si="19">ABS(B37-$L25)</f>
        <v>0.9814938781</v>
      </c>
      <c r="C48" s="29">
        <f t="shared" si="19"/>
        <v>0.1006108362</v>
      </c>
      <c r="D48" s="29">
        <f t="shared" si="19"/>
        <v>0.03023484421</v>
      </c>
      <c r="E48" s="29">
        <f t="shared" si="19"/>
        <v>0.01311167467</v>
      </c>
      <c r="F48" s="29">
        <f t="shared" si="19"/>
        <v>0.03165496221</v>
      </c>
      <c r="G48" s="29">
        <f t="shared" si="19"/>
        <v>0.04128453869</v>
      </c>
      <c r="H48" s="29">
        <f t="shared" si="19"/>
        <v>1.542412833</v>
      </c>
      <c r="I48" s="29">
        <f t="shared" si="19"/>
        <v>1.474757943</v>
      </c>
      <c r="J48" s="29">
        <f t="shared" si="19"/>
        <v>1.225575912</v>
      </c>
      <c r="K48" s="29">
        <f t="shared" si="19"/>
        <v>1.391866219</v>
      </c>
      <c r="L48" s="29">
        <f t="shared" si="19"/>
        <v>49.1436474</v>
      </c>
      <c r="M48" s="29">
        <f t="shared" si="19"/>
        <v>1.274901824</v>
      </c>
      <c r="N48" s="32"/>
      <c r="O48" s="32"/>
      <c r="P48" s="32"/>
      <c r="Q48" s="32"/>
      <c r="R48" s="32"/>
      <c r="S48" s="23"/>
      <c r="T48" s="23"/>
      <c r="U48" s="23"/>
      <c r="V48" s="23"/>
      <c r="W48" s="23"/>
      <c r="X48" s="23"/>
      <c r="Y48" s="23"/>
      <c r="Z48" s="23"/>
    </row>
    <row r="49">
      <c r="A49" s="5" t="s">
        <v>76</v>
      </c>
      <c r="B49" s="29">
        <f t="shared" ref="B49:M49" si="20">ABS(B38-$L26)</f>
        <v>0.2788722047</v>
      </c>
      <c r="C49" s="29">
        <f t="shared" si="20"/>
        <v>1.215680793</v>
      </c>
      <c r="D49" s="29">
        <f t="shared" si="20"/>
        <v>1.725124026</v>
      </c>
      <c r="E49" s="29">
        <f t="shared" si="20"/>
        <v>1.020731827</v>
      </c>
      <c r="F49" s="29">
        <f t="shared" si="20"/>
        <v>1.019359642</v>
      </c>
      <c r="G49" s="29">
        <f t="shared" si="20"/>
        <v>1.124634637</v>
      </c>
      <c r="H49" s="29">
        <f t="shared" si="20"/>
        <v>1.053268993</v>
      </c>
      <c r="I49" s="29">
        <f t="shared" si="20"/>
        <v>0.8964600768</v>
      </c>
      <c r="J49" s="29">
        <f t="shared" si="20"/>
        <v>210.602764</v>
      </c>
      <c r="K49" s="29">
        <f t="shared" si="20"/>
        <v>1.042251974</v>
      </c>
      <c r="L49" s="29">
        <f t="shared" si="20"/>
        <v>209.1805427</v>
      </c>
      <c r="M49" s="29">
        <f t="shared" si="20"/>
        <v>3.859588038</v>
      </c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23"/>
      <c r="B51" s="23">
        <f t="shared" ref="B51:M51" si="21">AVERAGE(IFERROR(B40:B49,""))</f>
        <v>2.422810905</v>
      </c>
      <c r="C51" s="23">
        <f t="shared" si="21"/>
        <v>2.025560158</v>
      </c>
      <c r="D51" s="23">
        <f t="shared" si="21"/>
        <v>2.118596972</v>
      </c>
      <c r="E51" s="23">
        <f t="shared" si="21"/>
        <v>2.281884056</v>
      </c>
      <c r="F51" s="23">
        <f t="shared" si="21"/>
        <v>317.7384071</v>
      </c>
      <c r="G51" s="23">
        <f t="shared" si="21"/>
        <v>318.0830565</v>
      </c>
      <c r="H51" s="23">
        <f t="shared" si="21"/>
        <v>2.689369875</v>
      </c>
      <c r="I51" s="23">
        <f t="shared" si="21"/>
        <v>2.719536699</v>
      </c>
      <c r="J51" s="23">
        <f t="shared" si="21"/>
        <v>26.59799951</v>
      </c>
      <c r="K51" s="23">
        <f t="shared" si="21"/>
        <v>3.047786962</v>
      </c>
      <c r="L51" s="23">
        <f t="shared" si="21"/>
        <v>105.5916275</v>
      </c>
      <c r="M51" s="23">
        <f t="shared" si="21"/>
        <v>18.19640047</v>
      </c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3"/>
      <c r="B55" s="29">
        <f t="shared" ref="B55:D55" si="22">ABS(H17-L17)</f>
        <v>4.030363707</v>
      </c>
      <c r="C55" s="29">
        <f t="shared" si="22"/>
        <v>2.018898271</v>
      </c>
      <c r="D55" s="29">
        <f t="shared" si="22"/>
        <v>2.568924934</v>
      </c>
      <c r="E55" s="24"/>
      <c r="F55" s="29"/>
      <c r="G55" s="29"/>
      <c r="H55" s="23"/>
      <c r="I55" s="29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23"/>
      <c r="B56" s="29">
        <f t="shared" ref="B56:D56" si="23">ABS(H18-L18)</f>
        <v>2.238288625</v>
      </c>
      <c r="C56" s="29">
        <f t="shared" si="23"/>
        <v>0.3608995578</v>
      </c>
      <c r="D56" s="29">
        <f t="shared" si="23"/>
        <v>2.477039316</v>
      </c>
      <c r="E56" s="24"/>
      <c r="F56" s="29"/>
      <c r="G56" s="29"/>
      <c r="H56" s="23"/>
      <c r="I56" s="29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23"/>
      <c r="B57" s="29">
        <f t="shared" ref="B57:D57" si="24">ABS(H19-L19)</f>
        <v>1.866552902</v>
      </c>
      <c r="C57" s="29">
        <f t="shared" si="24"/>
        <v>2.707501483</v>
      </c>
      <c r="D57" s="29">
        <f t="shared" si="24"/>
        <v>3.10517236</v>
      </c>
      <c r="E57" s="24"/>
      <c r="F57" s="29"/>
      <c r="G57" s="29"/>
      <c r="H57" s="23"/>
      <c r="I57" s="29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23"/>
      <c r="B58" s="29">
        <f t="shared" ref="B58:D58" si="25">ABS(H20-L20)</f>
        <v>2.612211335</v>
      </c>
      <c r="C58" s="29">
        <f t="shared" si="25"/>
        <v>2.504264398</v>
      </c>
      <c r="D58" s="29">
        <f t="shared" si="25"/>
        <v>2.750330241</v>
      </c>
      <c r="E58" s="24"/>
      <c r="F58" s="29"/>
      <c r="G58" s="29"/>
      <c r="H58" s="23"/>
      <c r="I58" s="29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23"/>
      <c r="B59" s="29">
        <f t="shared" ref="B59:D59" si="26">ABS(H21-L21)</f>
        <v>1.28990758</v>
      </c>
      <c r="C59" s="29">
        <f t="shared" si="26"/>
        <v>1.507805566</v>
      </c>
      <c r="D59" s="29">
        <f t="shared" si="26"/>
        <v>2.056355413</v>
      </c>
      <c r="E59" s="24"/>
      <c r="F59" s="29"/>
      <c r="G59" s="29"/>
      <c r="H59" s="23"/>
      <c r="I59" s="29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23"/>
      <c r="B60" s="29">
        <f t="shared" ref="B60:D60" si="27">ABS(H22-L22)</f>
        <v>2.487665358</v>
      </c>
      <c r="C60" s="29">
        <f t="shared" si="27"/>
        <v>3.622520059</v>
      </c>
      <c r="D60" s="29">
        <f t="shared" si="27"/>
        <v>4.000050158</v>
      </c>
      <c r="E60" s="24"/>
      <c r="F60" s="29"/>
      <c r="G60" s="29"/>
      <c r="H60" s="23"/>
      <c r="I60" s="29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23"/>
      <c r="B61" s="29">
        <f t="shared" ref="B61:D61" si="28">ABS(H23-L23)</f>
        <v>1.523736928</v>
      </c>
      <c r="C61" s="29">
        <f t="shared" si="28"/>
        <v>1.194104923</v>
      </c>
      <c r="D61" s="29">
        <f t="shared" si="28"/>
        <v>1.541300225</v>
      </c>
      <c r="E61" s="24"/>
      <c r="F61" s="29"/>
      <c r="G61" s="29"/>
      <c r="H61" s="23"/>
      <c r="I61" s="29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23"/>
      <c r="B62" s="29">
        <f t="shared" ref="B62:D62" si="29">ABS(H24-L24)</f>
        <v>4.094660275</v>
      </c>
      <c r="C62" s="29">
        <f t="shared" si="29"/>
        <v>6.256509347</v>
      </c>
      <c r="D62" s="29">
        <f t="shared" si="29"/>
        <v>5.901157071</v>
      </c>
      <c r="E62" s="24"/>
      <c r="F62" s="29"/>
      <c r="G62" s="29"/>
      <c r="H62" s="23"/>
      <c r="I62" s="29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23"/>
      <c r="B63" s="29">
        <f t="shared" ref="B63:D63" si="30">ABS(H25-L25)</f>
        <v>1.205683794</v>
      </c>
      <c r="C63" s="29">
        <f t="shared" si="30"/>
        <v>3.679197431</v>
      </c>
      <c r="D63" s="29">
        <f t="shared" si="30"/>
        <v>3.474901824</v>
      </c>
      <c r="E63" s="24"/>
      <c r="F63" s="29"/>
      <c r="G63" s="29"/>
      <c r="H63" s="23"/>
      <c r="I63" s="29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23"/>
      <c r="B64" s="29">
        <f t="shared" ref="B64:D64" si="31">ABS(H26-L26)</f>
        <v>3.857838412</v>
      </c>
      <c r="C64" s="29">
        <f t="shared" si="31"/>
        <v>4.442201468</v>
      </c>
      <c r="D64" s="29">
        <f t="shared" si="31"/>
        <v>4.559588038</v>
      </c>
      <c r="E64" s="24"/>
      <c r="F64" s="29"/>
      <c r="G64" s="29"/>
      <c r="H64" s="23"/>
      <c r="I64" s="29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23"/>
      <c r="B65" s="29"/>
      <c r="C65" s="29"/>
      <c r="D65" s="29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23"/>
      <c r="B66" s="29">
        <f t="shared" ref="B66:D66" si="32">AVERAGE(IFERROR(B55:B64,""))</f>
        <v>2.520690892</v>
      </c>
      <c r="C66" s="29">
        <f t="shared" si="32"/>
        <v>2.82939025</v>
      </c>
      <c r="D66" s="29">
        <f t="shared" si="32"/>
        <v>3.243481958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23"/>
      <c r="B71" s="23"/>
      <c r="C71" s="33"/>
      <c r="D71" s="33"/>
      <c r="E71" s="3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23"/>
      <c r="B72" s="23"/>
      <c r="C72" s="24"/>
      <c r="D72" s="24"/>
      <c r="E72" s="24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23"/>
      <c r="B73" s="23"/>
      <c r="C73" s="24"/>
      <c r="D73" s="24"/>
      <c r="E73" s="24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23"/>
      <c r="B74" s="23"/>
      <c r="C74" s="24"/>
      <c r="D74" s="24"/>
      <c r="E74" s="24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23"/>
      <c r="B75" s="23"/>
      <c r="C75" s="24"/>
      <c r="D75" s="24"/>
      <c r="E75" s="24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23"/>
      <c r="B76" s="23"/>
      <c r="C76" s="24"/>
      <c r="D76" s="24"/>
      <c r="E76" s="24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23"/>
      <c r="B77" s="23"/>
      <c r="C77" s="24"/>
      <c r="D77" s="24"/>
      <c r="E77" s="24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23"/>
      <c r="B78" s="23"/>
      <c r="C78" s="24"/>
      <c r="D78" s="24"/>
      <c r="E78" s="24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23"/>
      <c r="B79" s="23"/>
      <c r="C79" s="24"/>
      <c r="D79" s="24"/>
      <c r="E79" s="24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23"/>
      <c r="B80" s="23"/>
      <c r="C80" s="24"/>
      <c r="D80" s="24"/>
      <c r="E80" s="24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23"/>
      <c r="B81" s="23"/>
      <c r="C81" s="24"/>
      <c r="D81" s="24"/>
      <c r="E81" s="24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mergeCells count="2">
    <mergeCell ref="A1:C1"/>
    <mergeCell ref="D1:X1"/>
  </mergeCells>
  <conditionalFormatting sqref="A1:A12 A17:A26 Q18:Q27 A29:A38 A40:A49">
    <cfRule type="notContainsBlanks" dxfId="0" priority="1">
      <formula>LEN(TRIM(A1))&gt;0</formula>
    </cfRule>
  </conditionalFormatting>
  <conditionalFormatting sqref="B40:M49">
    <cfRule type="colorScale" priority="2">
      <colorScale>
        <cfvo type="min"/>
        <cfvo type="max"/>
        <color rgb="FFFFFFFF"/>
        <color rgb="FF57BB8A"/>
      </colorScale>
    </cfRule>
  </conditionalFormatting>
  <conditionalFormatting sqref="B55:D64">
    <cfRule type="colorScale" priority="3">
      <colorScale>
        <cfvo type="min"/>
        <cfvo type="max"/>
        <color rgb="FFFFFFFF"/>
        <color rgb="FF57BB8A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22.38"/>
    <col customWidth="1" min="10" max="11" width="14.5"/>
    <col customWidth="1" min="12" max="13" width="14.25"/>
    <col customWidth="1" min="14" max="14" width="14.75"/>
    <col customWidth="1" min="15" max="15" width="14.38"/>
    <col customWidth="1" min="16" max="16" width="14.13"/>
    <col customWidth="1" min="17" max="17" width="14.88"/>
    <col customWidth="1" min="18" max="19" width="14.38"/>
    <col customWidth="1" min="20" max="20" width="18.5"/>
    <col customWidth="1" min="21" max="21" width="14.75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57</v>
      </c>
      <c r="Q2" s="10" t="s">
        <v>58</v>
      </c>
      <c r="R2" s="10" t="s">
        <v>59</v>
      </c>
      <c r="S2" s="10" t="s">
        <v>60</v>
      </c>
      <c r="T2" s="10" t="s">
        <v>61</v>
      </c>
      <c r="U2" s="10" t="s">
        <v>62</v>
      </c>
      <c r="V2" s="10" t="s">
        <v>63</v>
      </c>
      <c r="W2" s="10" t="s">
        <v>64</v>
      </c>
      <c r="X2" s="10" t="s">
        <v>65</v>
      </c>
      <c r="Y2" s="10"/>
      <c r="Z2" s="10"/>
      <c r="AA2" s="10"/>
    </row>
    <row r="3">
      <c r="A3" s="3" t="s">
        <v>66</v>
      </c>
      <c r="B3" s="5" t="s">
        <v>50</v>
      </c>
      <c r="C3" s="11" t="s">
        <v>40</v>
      </c>
      <c r="D3" s="14">
        <v>-17.8399942012223</v>
      </c>
      <c r="E3" s="5">
        <v>-17.8961552732745</v>
      </c>
      <c r="F3" s="5">
        <v>-17.7952328852853</v>
      </c>
      <c r="G3" s="5">
        <v>-4306.82104008369</v>
      </c>
      <c r="H3" s="5">
        <v>-4306.82104008369</v>
      </c>
      <c r="I3" s="5">
        <v>-4306.82104008369</v>
      </c>
      <c r="J3" s="5">
        <v>0.0439472234984955</v>
      </c>
      <c r="K3" s="12">
        <v>-4308.08552407244</v>
      </c>
      <c r="L3" s="12">
        <v>-4308.30554107186</v>
      </c>
      <c r="M3" s="12">
        <v>-4307.88323976294</v>
      </c>
      <c r="N3" s="14">
        <v>-4306.81957681756</v>
      </c>
      <c r="O3" s="14">
        <v>-4308.3456265776</v>
      </c>
      <c r="P3" s="12">
        <v>93.2114647841908</v>
      </c>
      <c r="Q3" s="12">
        <v>91.5644888126148</v>
      </c>
      <c r="R3" s="12">
        <v>92.5242444525993</v>
      </c>
      <c r="S3" s="22">
        <v>90.515690588286</v>
      </c>
      <c r="T3" s="12"/>
      <c r="U3" s="12"/>
      <c r="V3" s="25">
        <v>-0.825037885402109</v>
      </c>
    </row>
    <row r="4">
      <c r="A4" s="3" t="s">
        <v>67</v>
      </c>
      <c r="B4" s="5" t="s">
        <v>50</v>
      </c>
      <c r="C4" s="11" t="s">
        <v>40</v>
      </c>
      <c r="D4" s="14">
        <v>-14.4912654059282</v>
      </c>
      <c r="E4" s="5">
        <v>-14.526449064265</v>
      </c>
      <c r="F4" s="5">
        <v>-14.4806379936318</v>
      </c>
      <c r="G4" s="5">
        <v>-3852.77881412186</v>
      </c>
      <c r="H4" s="5">
        <v>-3852.77881412186</v>
      </c>
      <c r="I4" s="5">
        <v>-3852.77881412186</v>
      </c>
      <c r="J4" s="5">
        <v>0.0468735057852272</v>
      </c>
      <c r="K4" s="12">
        <v>-3852.81666473886</v>
      </c>
      <c r="L4" s="12">
        <v>-3852.81681768142</v>
      </c>
      <c r="M4" s="12">
        <v>-3852.69075213525</v>
      </c>
      <c r="N4" s="14">
        <v>-3852.64495932435</v>
      </c>
      <c r="O4" s="14">
        <v>-3852.70302183659</v>
      </c>
      <c r="P4" s="12">
        <v>-97.1573784284242</v>
      </c>
      <c r="Q4" s="12">
        <v>-97.0246407681974</v>
      </c>
      <c r="R4" s="12">
        <v>-97.016120686317</v>
      </c>
      <c r="S4" s="22">
        <v>-99.3771290293378</v>
      </c>
      <c r="T4" s="12"/>
      <c r="U4" s="12"/>
      <c r="V4" s="25">
        <v>0.205245911920624</v>
      </c>
    </row>
    <row r="5">
      <c r="A5" s="3" t="s">
        <v>68</v>
      </c>
      <c r="B5" s="5" t="s">
        <v>50</v>
      </c>
      <c r="C5" s="11" t="s">
        <v>40</v>
      </c>
      <c r="D5" s="14">
        <v>-14.5214226540515</v>
      </c>
      <c r="E5" s="5">
        <v>-14.4982734857473</v>
      </c>
      <c r="F5" s="5">
        <v>-14.5075150031348</v>
      </c>
      <c r="G5" s="5">
        <v>-3172.46318922182</v>
      </c>
      <c r="H5" s="5">
        <v>-3172.46318922182</v>
      </c>
      <c r="I5" s="5">
        <v>-3172.46318922182</v>
      </c>
      <c r="J5" s="5">
        <v>0.0479974576307404</v>
      </c>
      <c r="K5" s="12">
        <v>-3172.26684356695</v>
      </c>
      <c r="L5" s="12">
        <v>-3172.23444400905</v>
      </c>
      <c r="M5" s="12">
        <v>-3171.87388874653</v>
      </c>
      <c r="N5" s="14">
        <v>-3171.75968007288</v>
      </c>
      <c r="O5" s="14">
        <v>-3171.86848669677</v>
      </c>
      <c r="P5" s="14">
        <v>-112.351920004094</v>
      </c>
      <c r="Q5" s="14">
        <v>-112.240602626204</v>
      </c>
      <c r="R5" s="14">
        <v>-112.345079661568</v>
      </c>
      <c r="S5" s="22">
        <v>-114.456973111449</v>
      </c>
      <c r="T5" s="14"/>
      <c r="U5" s="14"/>
      <c r="V5" s="25">
        <v>0.516307979087172</v>
      </c>
    </row>
    <row r="6">
      <c r="A6" s="3" t="s">
        <v>69</v>
      </c>
      <c r="B6" s="5" t="s">
        <v>50</v>
      </c>
      <c r="C6" s="11" t="s">
        <v>40</v>
      </c>
      <c r="D6" s="14">
        <v>-17.1039536361136</v>
      </c>
      <c r="E6" s="5">
        <v>-17.1260289641966</v>
      </c>
      <c r="F6" s="5">
        <v>-17.088869692729</v>
      </c>
      <c r="G6" s="5">
        <v>-3744.33265792385</v>
      </c>
      <c r="H6" s="5">
        <v>-3744.33265792385</v>
      </c>
      <c r="I6" s="5">
        <v>-3744.33265792385</v>
      </c>
      <c r="J6" s="5">
        <v>0.12093292799093</v>
      </c>
      <c r="K6" s="12">
        <v>-3745.23366210867</v>
      </c>
      <c r="L6" s="12">
        <v>-3744.44066632495</v>
      </c>
      <c r="M6" s="12">
        <v>-3744.40906895164</v>
      </c>
      <c r="N6" s="14">
        <v>-3744.28841294398</v>
      </c>
      <c r="O6" s="14">
        <v>-3744.3003241765</v>
      </c>
      <c r="P6" s="12">
        <v>8.22653033338503</v>
      </c>
      <c r="Q6" s="12">
        <v>8.16189310636292</v>
      </c>
      <c r="R6" s="12">
        <v>8.11714084913766</v>
      </c>
      <c r="S6" s="22">
        <v>5.74283020205996</v>
      </c>
      <c r="T6" s="12"/>
      <c r="U6" s="12"/>
      <c r="V6" s="25">
        <v>-0.154724842944052</v>
      </c>
    </row>
    <row r="7">
      <c r="A7" s="3" t="s">
        <v>70</v>
      </c>
      <c r="B7" s="5" t="s">
        <v>50</v>
      </c>
      <c r="C7" s="11" t="s">
        <v>40</v>
      </c>
      <c r="D7" s="14">
        <v>-13.4045824278496</v>
      </c>
      <c r="E7" s="5">
        <v>-13.505450859014</v>
      </c>
      <c r="F7" s="5">
        <v>-13.4297032877605</v>
      </c>
      <c r="G7" s="5">
        <v>-3353.03654520882</v>
      </c>
      <c r="H7" s="5">
        <v>-3353.03654520882</v>
      </c>
      <c r="I7" s="5">
        <v>-3353.03654520882</v>
      </c>
      <c r="J7" s="5">
        <v>0.0374430672794416</v>
      </c>
      <c r="K7" s="12">
        <v>-3352.83729628743</v>
      </c>
      <c r="L7" s="12">
        <v>-3352.77019776015</v>
      </c>
      <c r="M7" s="12">
        <v>-3352.1210940168</v>
      </c>
      <c r="N7" s="14">
        <v>-3352.23375063235</v>
      </c>
      <c r="O7" s="14">
        <v>-3352.23900451074</v>
      </c>
      <c r="P7" s="12">
        <v>-170.324477459372</v>
      </c>
      <c r="Q7" s="12">
        <v>-170.318813215367</v>
      </c>
      <c r="R7" s="12">
        <v>-170.266857189939</v>
      </c>
      <c r="S7" s="22">
        <v>-170.719691429621</v>
      </c>
      <c r="T7" s="12"/>
      <c r="U7" s="12"/>
      <c r="V7" s="25">
        <v>0.107687574021998</v>
      </c>
    </row>
    <row r="8">
      <c r="A8" s="3" t="s">
        <v>71</v>
      </c>
      <c r="B8" s="5" t="s">
        <v>50</v>
      </c>
      <c r="C8" s="11" t="s">
        <v>40</v>
      </c>
      <c r="D8" s="14">
        <v>-18.1020855272743</v>
      </c>
      <c r="E8" s="5">
        <v>-18.1872591047618</v>
      </c>
      <c r="F8" s="5">
        <v>-18.2022881770611</v>
      </c>
      <c r="G8" s="5">
        <v>-4753.41199252073</v>
      </c>
      <c r="H8" s="5">
        <v>-4753.41199252073</v>
      </c>
      <c r="I8" s="5">
        <v>-4753.41199252073</v>
      </c>
      <c r="J8" s="5">
        <v>0.0541262024336054</v>
      </c>
      <c r="K8" s="12">
        <v>-4752.92165248582</v>
      </c>
      <c r="L8" s="12">
        <v>-4753.62655468826</v>
      </c>
      <c r="M8" s="12">
        <v>-4751.63483301031</v>
      </c>
      <c r="N8" s="14">
        <v>-4752.1378039984</v>
      </c>
      <c r="O8" s="14">
        <v>-4751.98498440345</v>
      </c>
      <c r="P8" s="12">
        <v>-267.840443160535</v>
      </c>
      <c r="Q8" s="12">
        <v>-267.822591062724</v>
      </c>
      <c r="R8" s="12">
        <v>-267.889901886325</v>
      </c>
      <c r="S8" s="22">
        <v>-269.182065535952</v>
      </c>
      <c r="T8" s="12"/>
      <c r="U8" s="12"/>
      <c r="V8" s="25">
        <v>0.00448993471710465</v>
      </c>
    </row>
    <row r="9">
      <c r="A9" s="3" t="s">
        <v>73</v>
      </c>
      <c r="B9" s="5" t="s">
        <v>50</v>
      </c>
      <c r="C9" s="11" t="s">
        <v>40</v>
      </c>
      <c r="D9" s="14">
        <v>-14.0305562910121</v>
      </c>
      <c r="E9" s="5">
        <v>-14.1197314237022</v>
      </c>
      <c r="F9" s="5">
        <v>-14.0215911358722</v>
      </c>
      <c r="G9" s="5">
        <v>-4293.6230531132</v>
      </c>
      <c r="H9" s="5">
        <v>-4293.6230531132</v>
      </c>
      <c r="I9" s="5">
        <v>-4293.6230531132</v>
      </c>
      <c r="J9" s="5">
        <v>0.0459681555886509</v>
      </c>
      <c r="K9" s="12">
        <v>-4292.33964923293</v>
      </c>
      <c r="L9" s="12">
        <v>-4292.22696154033</v>
      </c>
      <c r="M9" s="12">
        <v>-4292.13786168793</v>
      </c>
      <c r="N9" s="14">
        <v>-4292.18186881345</v>
      </c>
      <c r="O9" s="14">
        <v>-4292.2209346196</v>
      </c>
      <c r="P9" s="12">
        <v>-175.819162937948</v>
      </c>
      <c r="Q9" s="12">
        <v>-175.400174455635</v>
      </c>
      <c r="R9" s="12" t="s">
        <v>72</v>
      </c>
      <c r="S9" s="22">
        <v>-177.824372552023</v>
      </c>
      <c r="T9" s="12"/>
      <c r="U9" s="12"/>
      <c r="V9" s="25">
        <v>1.33547697140498</v>
      </c>
    </row>
    <row r="10">
      <c r="A10" s="3" t="s">
        <v>74</v>
      </c>
      <c r="B10" s="5" t="s">
        <v>50</v>
      </c>
      <c r="C10" s="11" t="s">
        <v>40</v>
      </c>
      <c r="D10" s="14">
        <v>-16.4018987780646</v>
      </c>
      <c r="E10" s="5">
        <v>-16.4457676650178</v>
      </c>
      <c r="F10" s="5">
        <v>-16.4962041223872</v>
      </c>
      <c r="G10" s="5">
        <v>-3330.87837797578</v>
      </c>
      <c r="H10" s="5">
        <v>-3330.87837797578</v>
      </c>
      <c r="I10" s="5">
        <v>-3330.87837797578</v>
      </c>
      <c r="J10" s="5">
        <v>0.00943875572055209</v>
      </c>
      <c r="K10" s="12">
        <v>-3328.2317163222</v>
      </c>
      <c r="L10" s="12">
        <v>-3328.2566538456</v>
      </c>
      <c r="M10" s="12">
        <v>-3327.33039994678</v>
      </c>
      <c r="N10" s="14">
        <v>-3327.78318601465</v>
      </c>
      <c r="O10" s="14">
        <v>-3327.14446565567</v>
      </c>
      <c r="P10" s="12">
        <v>-128.63009026318</v>
      </c>
      <c r="Q10" s="12">
        <v>-128.570138173216</v>
      </c>
      <c r="R10" s="12">
        <v>-126.957860877469</v>
      </c>
      <c r="S10" s="22">
        <v>-131.216636083013</v>
      </c>
      <c r="T10" s="12"/>
      <c r="U10" s="12"/>
      <c r="V10" s="25">
        <v>2.53764521767511</v>
      </c>
    </row>
    <row r="11">
      <c r="A11" s="3" t="s">
        <v>75</v>
      </c>
      <c r="B11" s="5" t="s">
        <v>50</v>
      </c>
      <c r="C11" s="11" t="s">
        <v>40</v>
      </c>
      <c r="D11" s="14">
        <v>-12.3277532166487</v>
      </c>
      <c r="E11" s="5">
        <v>-12.3339255676039</v>
      </c>
      <c r="F11" s="5">
        <v>-12.2461619814637</v>
      </c>
      <c r="G11" s="5">
        <v>-2490.40287756943</v>
      </c>
      <c r="H11" s="5">
        <v>-2490.40287756943</v>
      </c>
      <c r="I11" s="5">
        <v>-2490.40287756943</v>
      </c>
      <c r="J11" s="5">
        <v>-0.00665238078692664</v>
      </c>
      <c r="K11" s="12">
        <v>-2489.5230129093</v>
      </c>
      <c r="L11" s="12">
        <v>-2489.49352899316</v>
      </c>
      <c r="M11" s="12">
        <v>-2489.47131249329</v>
      </c>
      <c r="N11" s="12">
        <v>-2489.38702986591</v>
      </c>
      <c r="O11" s="14">
        <v>-2489.5493841143</v>
      </c>
      <c r="P11" s="12">
        <v>-65.0361023709191</v>
      </c>
      <c r="Q11" s="12">
        <v>-65.1011988593049</v>
      </c>
      <c r="R11" s="12">
        <v>-64.9415717559724</v>
      </c>
      <c r="S11" s="22">
        <v>-68.9691780923729</v>
      </c>
      <c r="T11" s="12"/>
      <c r="U11" s="12"/>
      <c r="V11" s="25">
        <v>0.869565313199562</v>
      </c>
    </row>
    <row r="12">
      <c r="A12" s="5" t="s">
        <v>76</v>
      </c>
      <c r="B12" s="5" t="s">
        <v>50</v>
      </c>
      <c r="C12" s="11" t="s">
        <v>40</v>
      </c>
      <c r="D12" s="14">
        <v>-17.881324223778</v>
      </c>
      <c r="E12" s="5">
        <v>-17.9895349998083</v>
      </c>
      <c r="F12" s="5">
        <v>-17.9258789175771</v>
      </c>
      <c r="G12" s="5">
        <v>-4891.12164638679</v>
      </c>
      <c r="H12" s="5">
        <v>-4891.12164638679</v>
      </c>
      <c r="I12" s="5">
        <v>-4891.12164638679</v>
      </c>
      <c r="J12" s="5">
        <v>0.0317278930047643</v>
      </c>
      <c r="K12" s="12">
        <v>-4891.50026134245</v>
      </c>
      <c r="L12" s="12">
        <v>-4891.57429754737</v>
      </c>
      <c r="M12" s="12">
        <v>-4890.90312887942</v>
      </c>
      <c r="N12" s="12">
        <v>-4890.96661132049</v>
      </c>
      <c r="O12" s="14">
        <v>-4890.96603189633</v>
      </c>
      <c r="P12" s="12">
        <v>-282.034174447364</v>
      </c>
      <c r="Q12" s="12">
        <v>-282.045644105563</v>
      </c>
      <c r="R12" s="12">
        <v>-282.070587041272</v>
      </c>
      <c r="S12" s="22">
        <v>-284.328684348515</v>
      </c>
      <c r="T12" s="12"/>
      <c r="U12" s="12"/>
      <c r="V12" s="25">
        <v>-0.355326887811936</v>
      </c>
    </row>
    <row r="13">
      <c r="D13" s="14"/>
      <c r="E13" s="5"/>
      <c r="F13" s="5"/>
      <c r="G13" s="5"/>
      <c r="H13" s="5"/>
      <c r="I13" s="5"/>
      <c r="J13" s="5"/>
      <c r="K13" s="12"/>
      <c r="L13" s="12"/>
      <c r="M13" s="12"/>
      <c r="N13" s="14"/>
      <c r="O13" s="14"/>
      <c r="P13" s="12"/>
      <c r="Q13" s="12"/>
      <c r="R13" s="12"/>
    </row>
    <row r="14">
      <c r="D14" s="14"/>
      <c r="E14" s="5"/>
      <c r="F14" s="5"/>
      <c r="G14" s="5"/>
      <c r="H14" s="5"/>
      <c r="I14" s="5"/>
      <c r="J14" s="5"/>
      <c r="K14" s="12"/>
      <c r="L14" s="12"/>
      <c r="M14" s="14"/>
      <c r="N14" s="14"/>
      <c r="O14" s="14"/>
      <c r="P14" s="12"/>
      <c r="Q14" s="12"/>
      <c r="R14" s="12"/>
    </row>
    <row r="15">
      <c r="D15" s="14"/>
      <c r="E15" s="5"/>
      <c r="F15" s="5"/>
      <c r="G15" s="5"/>
      <c r="H15" s="5"/>
      <c r="I15" s="5"/>
      <c r="J15" s="5"/>
      <c r="K15" s="12"/>
      <c r="L15" s="12"/>
      <c r="M15" s="14"/>
      <c r="N15" s="14"/>
      <c r="O15" s="14"/>
      <c r="P15" s="12"/>
      <c r="Q15" s="12"/>
      <c r="R15" s="12"/>
    </row>
    <row r="16">
      <c r="D16" s="14"/>
      <c r="E16" s="5"/>
      <c r="F16" s="5"/>
      <c r="G16" s="5"/>
      <c r="H16" s="5"/>
      <c r="I16" s="5"/>
      <c r="J16" s="5"/>
      <c r="K16" s="12"/>
      <c r="L16" s="12"/>
      <c r="M16" s="14"/>
      <c r="N16" s="14"/>
      <c r="O16" s="14"/>
      <c r="P16" s="12"/>
      <c r="Q16" s="12"/>
      <c r="R16" s="12"/>
    </row>
    <row r="17">
      <c r="D17" s="14"/>
      <c r="E17" s="5"/>
      <c r="F17" s="5"/>
      <c r="G17" s="5"/>
      <c r="H17" s="5"/>
      <c r="I17" s="5"/>
      <c r="J17" s="5"/>
      <c r="K17" s="12"/>
      <c r="L17" s="12"/>
      <c r="M17" s="14"/>
      <c r="N17" s="21"/>
      <c r="O17" s="14"/>
      <c r="P17" s="12"/>
      <c r="Q17" s="12"/>
      <c r="R17" s="12"/>
    </row>
    <row r="18">
      <c r="D18" s="14"/>
      <c r="E18" s="5"/>
      <c r="F18" s="5"/>
      <c r="G18" s="5"/>
      <c r="H18" s="5"/>
      <c r="I18" s="3"/>
      <c r="J18" s="5"/>
      <c r="K18" s="12"/>
      <c r="L18" s="12"/>
      <c r="M18" s="14"/>
      <c r="N18" s="14"/>
      <c r="O18" s="14"/>
      <c r="P18" s="12"/>
      <c r="Q18" s="12"/>
      <c r="R18" s="12"/>
    </row>
    <row r="19">
      <c r="C19" s="24"/>
      <c r="D19" s="14"/>
      <c r="E19" s="5"/>
      <c r="F19" s="5"/>
      <c r="G19" s="5"/>
      <c r="H19" s="5"/>
      <c r="I19" s="5"/>
      <c r="J19" s="5"/>
      <c r="K19" s="12"/>
      <c r="L19" s="12"/>
      <c r="M19" s="14"/>
      <c r="N19" s="14"/>
      <c r="O19" s="14"/>
      <c r="P19" s="12"/>
      <c r="Q19" s="12"/>
      <c r="R19" s="12"/>
    </row>
    <row r="20">
      <c r="C20" s="24"/>
      <c r="D20" s="14"/>
      <c r="E20" s="5"/>
      <c r="F20" s="5"/>
      <c r="G20" s="5"/>
      <c r="H20" s="5"/>
      <c r="I20" s="5"/>
      <c r="J20" s="5"/>
      <c r="K20" s="12"/>
      <c r="L20" s="12"/>
      <c r="M20" s="14"/>
      <c r="N20" s="14"/>
      <c r="O20" s="14"/>
      <c r="P20" s="12"/>
      <c r="Q20" s="12"/>
      <c r="R20" s="12"/>
    </row>
    <row r="21">
      <c r="C21" s="24"/>
      <c r="D21" s="14"/>
      <c r="E21" s="5"/>
      <c r="F21" s="5"/>
      <c r="G21" s="5"/>
      <c r="H21" s="5"/>
      <c r="I21" s="5"/>
      <c r="J21" s="5"/>
      <c r="K21" s="12"/>
      <c r="L21" s="12"/>
      <c r="M21" s="14"/>
      <c r="N21" s="21"/>
      <c r="O21" s="14"/>
      <c r="P21" s="12"/>
      <c r="Q21" s="12"/>
      <c r="R21" s="12"/>
    </row>
    <row r="22">
      <c r="C22" s="24"/>
      <c r="D22" s="14"/>
      <c r="E22" s="5"/>
      <c r="F22" s="5"/>
      <c r="G22" s="5"/>
      <c r="H22" s="5"/>
      <c r="I22" s="3"/>
      <c r="J22" s="5"/>
      <c r="K22" s="12"/>
      <c r="L22" s="12"/>
      <c r="M22" s="14"/>
      <c r="N22" s="14"/>
      <c r="O22" s="14"/>
      <c r="P22" s="12"/>
      <c r="Q22" s="12"/>
      <c r="R22" s="12"/>
    </row>
    <row r="23">
      <c r="C23" s="24"/>
      <c r="D23" s="24"/>
      <c r="E23" s="24"/>
      <c r="F23" s="5"/>
      <c r="J23" s="5"/>
    </row>
    <row r="24">
      <c r="C24" s="24"/>
      <c r="D24" s="24"/>
      <c r="E24" s="24"/>
      <c r="F24" s="5"/>
      <c r="J24" s="5"/>
    </row>
    <row r="25">
      <c r="C25" s="24"/>
      <c r="D25" s="24"/>
      <c r="E25" s="24"/>
      <c r="F25" s="5"/>
      <c r="J25" s="5"/>
    </row>
    <row r="26">
      <c r="C26" s="24"/>
      <c r="D26" s="24"/>
      <c r="E26" s="24"/>
      <c r="F26" s="5"/>
      <c r="J26" s="5"/>
    </row>
    <row r="27">
      <c r="C27" s="24"/>
      <c r="D27" s="24"/>
      <c r="E27" s="24"/>
      <c r="F27" s="5"/>
      <c r="J27" s="5"/>
    </row>
    <row r="28">
      <c r="C28" s="24"/>
      <c r="D28" s="24"/>
      <c r="E28" s="24"/>
      <c r="F28" s="5"/>
    </row>
    <row r="29">
      <c r="C29" s="24"/>
      <c r="D29" s="24"/>
      <c r="E29" s="24"/>
      <c r="F29" s="5"/>
    </row>
  </sheetData>
  <mergeCells count="2">
    <mergeCell ref="A1:C1"/>
    <mergeCell ref="D1:X1"/>
  </mergeCells>
  <conditionalFormatting sqref="A1:A12">
    <cfRule type="notContainsBlanks" dxfId="0" priority="1">
      <formula>LEN(TRIM(A1))&gt;0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2" max="6" width="18.13"/>
    <col customWidth="1" min="7" max="7" width="18.38"/>
    <col customWidth="1" min="8" max="8" width="17.63"/>
    <col customWidth="1" min="9" max="9" width="17.75"/>
    <col customWidth="1" min="10" max="10" width="20.13"/>
    <col customWidth="1" min="11" max="11" width="19.13"/>
    <col customWidth="1" min="12" max="12" width="20.0"/>
    <col customWidth="1" min="13" max="13" width="18.75"/>
    <col customWidth="1" min="14" max="14" width="19.25"/>
    <col customWidth="1" min="15" max="15" width="20.13"/>
    <col customWidth="1" min="16" max="16" width="18.5"/>
    <col customWidth="1" min="17" max="17" width="17.88"/>
    <col customWidth="1" min="18" max="18" width="20.0"/>
    <col customWidth="1" min="19" max="20" width="18.13"/>
    <col customWidth="1" min="21" max="21" width="19.0"/>
    <col customWidth="1" min="22" max="22" width="18.88"/>
    <col customWidth="1" min="23" max="23" width="19.13"/>
    <col customWidth="1" min="24" max="24" width="20.5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  <c r="Y1" s="23"/>
      <c r="Z1" s="23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57</v>
      </c>
      <c r="Q2" s="10" t="s">
        <v>58</v>
      </c>
      <c r="R2" s="10" t="s">
        <v>59</v>
      </c>
      <c r="S2" s="10" t="s">
        <v>60</v>
      </c>
      <c r="T2" s="10" t="s">
        <v>61</v>
      </c>
      <c r="U2" s="10" t="s">
        <v>62</v>
      </c>
      <c r="V2" s="10" t="s">
        <v>63</v>
      </c>
      <c r="W2" s="10" t="s">
        <v>64</v>
      </c>
      <c r="X2" s="10" t="s">
        <v>65</v>
      </c>
      <c r="Y2" s="23"/>
      <c r="Z2" s="23"/>
    </row>
    <row r="3">
      <c r="A3" s="3" t="s">
        <v>66</v>
      </c>
      <c r="B3" s="5" t="s">
        <v>39</v>
      </c>
      <c r="C3" s="11" t="s">
        <v>40</v>
      </c>
      <c r="D3" s="24">
        <v>-14.2512506730292</v>
      </c>
      <c r="E3" s="24">
        <v>-14.1866193829134</v>
      </c>
      <c r="F3" s="24">
        <v>-14.2903135052411</v>
      </c>
      <c r="G3" s="5">
        <v>-4306.82104008369</v>
      </c>
      <c r="H3" s="5">
        <v>-4306.82104008369</v>
      </c>
      <c r="I3" s="5">
        <v>-4306.82104008369</v>
      </c>
      <c r="J3" s="3">
        <v>-4307.72677050423</v>
      </c>
      <c r="K3" s="14">
        <v>-4308.67375996799</v>
      </c>
      <c r="L3" s="14">
        <v>-4308.93363645322</v>
      </c>
      <c r="M3" s="14">
        <v>-4308.4759518841</v>
      </c>
      <c r="N3" s="14" t="s">
        <v>72</v>
      </c>
      <c r="O3" s="14">
        <v>-4308.63369507922</v>
      </c>
      <c r="P3" s="24">
        <v>91.1499636876458</v>
      </c>
      <c r="Q3" s="14">
        <v>91.3258024540915</v>
      </c>
      <c r="R3" s="14"/>
      <c r="T3" s="14"/>
      <c r="U3" s="14"/>
      <c r="V3" s="22"/>
      <c r="W3" s="22"/>
      <c r="X3" s="23"/>
      <c r="Y3" s="23"/>
      <c r="Z3" s="23"/>
    </row>
    <row r="4">
      <c r="A4" s="3" t="s">
        <v>67</v>
      </c>
      <c r="B4" s="5" t="s">
        <v>39</v>
      </c>
      <c r="C4" s="11" t="s">
        <v>40</v>
      </c>
      <c r="D4" s="24">
        <v>-15.2256808842754</v>
      </c>
      <c r="E4" s="24">
        <v>-14.6095375335261</v>
      </c>
      <c r="F4" s="24">
        <v>-17.8601929922942</v>
      </c>
      <c r="G4" s="5">
        <v>-3852.77881412186</v>
      </c>
      <c r="H4" s="5">
        <v>-3852.77881412186</v>
      </c>
      <c r="I4" s="5">
        <v>-3852.77881412186</v>
      </c>
      <c r="J4" s="3">
        <v>-3855.24609664458</v>
      </c>
      <c r="K4" s="14">
        <v>-3854.14272062727</v>
      </c>
      <c r="L4" s="14">
        <v>-3854.57275211843</v>
      </c>
      <c r="M4" s="14">
        <v>-3854.54105987502</v>
      </c>
      <c r="N4" s="14">
        <v>-3854.91088360288</v>
      </c>
      <c r="O4" s="14">
        <v>-3855.40698038596</v>
      </c>
      <c r="P4" s="12">
        <v>-99.1088230602436</v>
      </c>
      <c r="Q4" s="14">
        <v>-98.3763172984702</v>
      </c>
      <c r="R4" s="14"/>
      <c r="T4" s="14"/>
      <c r="U4" s="14"/>
      <c r="V4" s="22"/>
      <c r="W4" s="22"/>
      <c r="X4" s="23"/>
      <c r="Y4" s="23"/>
      <c r="Z4" s="23"/>
    </row>
    <row r="5">
      <c r="A5" s="3" t="s">
        <v>68</v>
      </c>
      <c r="B5" s="5" t="s">
        <v>39</v>
      </c>
      <c r="C5" s="11" t="s">
        <v>40</v>
      </c>
      <c r="D5" s="24">
        <v>-10.3375632691894</v>
      </c>
      <c r="E5" s="24">
        <v>-10.394981056061</v>
      </c>
      <c r="F5" s="24">
        <v>-10.2709650597953</v>
      </c>
      <c r="G5" s="5">
        <v>-3172.46318922182</v>
      </c>
      <c r="H5" s="5">
        <v>-3172.46318922182</v>
      </c>
      <c r="I5" s="5">
        <v>-3172.46318922182</v>
      </c>
      <c r="J5" s="12">
        <v>-3172.32203038317</v>
      </c>
      <c r="K5" s="14">
        <v>-3172.57059753779</v>
      </c>
      <c r="L5" s="14">
        <v>-3172.45616722864</v>
      </c>
      <c r="M5" s="14">
        <v>-3172.17492272369</v>
      </c>
      <c r="N5" s="14">
        <v>-3172.08897859237</v>
      </c>
      <c r="O5" s="14">
        <v>-3171.95379473637</v>
      </c>
      <c r="P5" s="14">
        <v>-111.756199201181</v>
      </c>
      <c r="Q5" s="14">
        <v>-111.985998111082</v>
      </c>
      <c r="R5" s="14"/>
      <c r="T5" s="14"/>
      <c r="U5" s="14"/>
      <c r="V5" s="22"/>
      <c r="W5" s="22"/>
      <c r="X5" s="23"/>
      <c r="Y5" s="23"/>
      <c r="Z5" s="23"/>
    </row>
    <row r="6">
      <c r="A6" s="3" t="s">
        <v>69</v>
      </c>
      <c r="B6" s="5" t="s">
        <v>39</v>
      </c>
      <c r="C6" s="11" t="s">
        <v>40</v>
      </c>
      <c r="D6" s="24">
        <v>-13.2671058258476</v>
      </c>
      <c r="E6" s="24">
        <v>-13.3000235773394</v>
      </c>
      <c r="F6" s="24">
        <v>-13.3364495133599</v>
      </c>
      <c r="G6" s="5">
        <v>-3744.33265792385</v>
      </c>
      <c r="H6" s="5">
        <v>-3744.33265792385</v>
      </c>
      <c r="I6" s="5">
        <v>-3744.33265792385</v>
      </c>
      <c r="J6" s="3">
        <v>-3744.82669382434</v>
      </c>
      <c r="K6" s="14">
        <v>-3744.86419595928</v>
      </c>
      <c r="L6" s="14">
        <v>-3744.77160041672</v>
      </c>
      <c r="M6" s="14">
        <v>-3744.21419655594</v>
      </c>
      <c r="N6" s="14">
        <v>-3744.06793822012</v>
      </c>
      <c r="O6" s="14">
        <v>-3744.30200390715</v>
      </c>
      <c r="P6" s="12">
        <v>8.30543513255409</v>
      </c>
      <c r="Q6" s="14">
        <v>7.87868475885092</v>
      </c>
      <c r="R6" s="14"/>
      <c r="T6" s="14"/>
      <c r="U6" s="14"/>
      <c r="V6" s="22"/>
      <c r="W6" s="22"/>
      <c r="X6" s="23"/>
      <c r="Y6" s="23"/>
      <c r="Z6" s="23"/>
    </row>
    <row r="7">
      <c r="A7" s="3" t="s">
        <v>70</v>
      </c>
      <c r="B7" s="5" t="s">
        <v>39</v>
      </c>
      <c r="C7" s="11" t="s">
        <v>40</v>
      </c>
      <c r="D7" s="24">
        <v>-10.5532116135849</v>
      </c>
      <c r="E7" s="24">
        <v>-10.6296608815934</v>
      </c>
      <c r="F7" s="24">
        <v>-10.6241094593606</v>
      </c>
      <c r="G7" s="5">
        <v>-3353.03654520882</v>
      </c>
      <c r="H7" s="5">
        <v>-3353.03654520882</v>
      </c>
      <c r="I7" s="5">
        <v>-3353.03654520882</v>
      </c>
      <c r="J7" s="3">
        <v>-3353.39439336522</v>
      </c>
      <c r="K7" s="12">
        <v>-3353.32994020445</v>
      </c>
      <c r="L7" s="12">
        <v>-3353.33072692397</v>
      </c>
      <c r="M7" s="12">
        <v>-3352.58228767825</v>
      </c>
      <c r="N7" s="14">
        <v>-3352.60739857015</v>
      </c>
      <c r="O7" s="14">
        <v>-3352.58175981184</v>
      </c>
      <c r="P7" s="12">
        <v>-170.308061688257</v>
      </c>
      <c r="Q7" s="14">
        <v>-170.416655528504</v>
      </c>
      <c r="R7" s="14"/>
      <c r="T7" s="14"/>
      <c r="U7" s="14"/>
      <c r="V7" s="22"/>
      <c r="W7" s="22"/>
      <c r="X7" s="23"/>
      <c r="Y7" s="23"/>
      <c r="Z7" s="23"/>
    </row>
    <row r="8">
      <c r="A8" s="3" t="s">
        <v>71</v>
      </c>
      <c r="B8" s="5" t="s">
        <v>39</v>
      </c>
      <c r="C8" s="11" t="s">
        <v>40</v>
      </c>
      <c r="D8" s="24">
        <v>-12.7979392380048</v>
      </c>
      <c r="E8" s="24">
        <v>-12.8355587146584</v>
      </c>
      <c r="F8" s="24">
        <v>-12.7448093950096</v>
      </c>
      <c r="G8" s="5">
        <v>-4753.41199252073</v>
      </c>
      <c r="H8" s="5">
        <v>-4753.41199252073</v>
      </c>
      <c r="I8" s="5">
        <v>-4753.41199252073</v>
      </c>
      <c r="J8" s="3">
        <v>-4753.79058427274</v>
      </c>
      <c r="K8" s="14">
        <v>-4753.49649300431</v>
      </c>
      <c r="L8" s="14" t="s">
        <v>72</v>
      </c>
      <c r="M8" s="14">
        <v>-4752.76142461863</v>
      </c>
      <c r="N8" s="14">
        <v>-4752.48939925039</v>
      </c>
      <c r="O8" s="14">
        <v>-4752.32304094365</v>
      </c>
      <c r="P8" s="12">
        <v>-268.085070793096</v>
      </c>
      <c r="Q8" s="14">
        <v>-268.24438313511</v>
      </c>
      <c r="R8" s="14"/>
      <c r="T8" s="14"/>
      <c r="U8" s="14"/>
      <c r="V8" s="22"/>
      <c r="W8" s="22"/>
      <c r="X8" s="23"/>
      <c r="Y8" s="23"/>
      <c r="Z8" s="23"/>
    </row>
    <row r="9">
      <c r="A9" s="3" t="s">
        <v>73</v>
      </c>
      <c r="B9" s="5" t="s">
        <v>39</v>
      </c>
      <c r="C9" s="11" t="s">
        <v>40</v>
      </c>
      <c r="D9" s="24">
        <v>-11.9516418705153</v>
      </c>
      <c r="E9" s="24">
        <v>-11.944810247528</v>
      </c>
      <c r="F9" s="24">
        <v>-11.9187141864099</v>
      </c>
      <c r="G9" s="5">
        <v>-4293.6230531132</v>
      </c>
      <c r="H9" s="5">
        <v>-4293.6230531132</v>
      </c>
      <c r="I9" s="5">
        <v>-4293.6230531132</v>
      </c>
      <c r="J9" s="3">
        <v>-4294.97360076785</v>
      </c>
      <c r="K9" s="14">
        <v>-4295.1272969716</v>
      </c>
      <c r="L9" s="14">
        <v>-4295.69774106349</v>
      </c>
      <c r="M9" s="14">
        <v>-4295.49616690099</v>
      </c>
      <c r="N9" s="14">
        <v>-4295.96861845522</v>
      </c>
      <c r="O9" s="14">
        <v>-4296.06615282162</v>
      </c>
      <c r="P9" s="12">
        <v>-177.073093046786</v>
      </c>
      <c r="Q9" s="14">
        <v>-177.603879969776</v>
      </c>
      <c r="R9" s="14"/>
      <c r="T9" s="14"/>
      <c r="U9" s="14"/>
      <c r="V9" s="22"/>
      <c r="W9" s="22"/>
      <c r="X9" s="23"/>
      <c r="Y9" s="23"/>
      <c r="Z9" s="23"/>
    </row>
    <row r="10">
      <c r="A10" s="3" t="s">
        <v>74</v>
      </c>
      <c r="B10" s="5" t="s">
        <v>39</v>
      </c>
      <c r="C10" s="11" t="s">
        <v>40</v>
      </c>
      <c r="D10" s="24">
        <v>-24.5807290337508</v>
      </c>
      <c r="E10" s="24">
        <v>-24.5725466033913</v>
      </c>
      <c r="F10" s="24">
        <v>-24.5474630389656</v>
      </c>
      <c r="G10" s="5">
        <v>-3330.87837797578</v>
      </c>
      <c r="H10" s="5">
        <v>-3330.87837797578</v>
      </c>
      <c r="I10" s="5">
        <v>-3330.87837797578</v>
      </c>
      <c r="J10" s="3">
        <v>-3337.38823407849</v>
      </c>
      <c r="K10" s="14">
        <v>-3337.22558835653</v>
      </c>
      <c r="L10" s="14" t="s">
        <v>72</v>
      </c>
      <c r="M10" s="14">
        <v>-3337.03705849017</v>
      </c>
      <c r="N10" s="14">
        <v>-3337.108379114</v>
      </c>
      <c r="O10" s="14">
        <v>-3337.32969194706</v>
      </c>
      <c r="P10" s="12">
        <v>-132.474583712315</v>
      </c>
      <c r="Q10" s="14">
        <v>-133.304440044709</v>
      </c>
      <c r="R10" s="14"/>
      <c r="T10" s="14"/>
      <c r="U10" s="14"/>
      <c r="V10" s="22"/>
      <c r="W10" s="22"/>
      <c r="X10" s="23"/>
      <c r="Y10" s="23"/>
      <c r="Z10" s="23"/>
    </row>
    <row r="11">
      <c r="A11" s="3" t="s">
        <v>75</v>
      </c>
      <c r="B11" s="5" t="s">
        <v>39</v>
      </c>
      <c r="C11" s="11" t="s">
        <v>40</v>
      </c>
      <c r="D11" s="24">
        <v>-16.9743067116186</v>
      </c>
      <c r="E11" s="24">
        <v>-16.9443423252191</v>
      </c>
      <c r="F11" s="24">
        <v>-16.9871532748989</v>
      </c>
      <c r="G11" s="5">
        <v>-2490.40287756943</v>
      </c>
      <c r="H11" s="5">
        <v>-2490.40287756943</v>
      </c>
      <c r="I11" s="5">
        <v>-2490.40287756943</v>
      </c>
      <c r="J11" s="3">
        <v>-2490.03558244421</v>
      </c>
      <c r="K11" s="14">
        <v>-2490.13996335597</v>
      </c>
      <c r="L11" s="14" t="s">
        <v>72</v>
      </c>
      <c r="M11" s="14">
        <v>-2490.1151632811</v>
      </c>
      <c r="N11" s="14">
        <v>-2490.13034578842</v>
      </c>
      <c r="O11" s="14">
        <v>-2490.11484276612</v>
      </c>
      <c r="P11" s="24">
        <v>-64.2345837902355</v>
      </c>
      <c r="Q11" s="14" t="s">
        <v>72</v>
      </c>
      <c r="R11" s="14"/>
      <c r="T11" s="14"/>
      <c r="U11" s="14"/>
      <c r="V11" s="22"/>
      <c r="W11" s="22"/>
      <c r="X11" s="23"/>
      <c r="Y11" s="23"/>
      <c r="Z11" s="23"/>
    </row>
    <row r="12">
      <c r="A12" s="5" t="s">
        <v>76</v>
      </c>
      <c r="B12" s="5" t="s">
        <v>39</v>
      </c>
      <c r="C12" s="11" t="s">
        <v>40</v>
      </c>
      <c r="D12" s="24">
        <v>-11.6628255949265</v>
      </c>
      <c r="E12" s="24">
        <v>-11.6559354169242</v>
      </c>
      <c r="F12" s="24">
        <v>-11.7049931815974</v>
      </c>
      <c r="G12" s="5">
        <v>-4891.12164638679</v>
      </c>
      <c r="H12" s="5">
        <v>-4891.12164638679</v>
      </c>
      <c r="I12" s="5">
        <v>-4891.12164638679</v>
      </c>
      <c r="J12" s="5">
        <v>-4893.51206218964</v>
      </c>
      <c r="K12" s="14">
        <v>-4893.80016708231</v>
      </c>
      <c r="L12" s="14" t="s">
        <v>72</v>
      </c>
      <c r="M12" s="14">
        <v>-4892.66235978389</v>
      </c>
      <c r="N12" s="14">
        <v>-4892.62827530163</v>
      </c>
      <c r="O12" s="14">
        <v>-4892.59412769097</v>
      </c>
      <c r="P12" s="12">
        <v>-284.407404988659</v>
      </c>
      <c r="Q12" s="14" t="s">
        <v>72</v>
      </c>
      <c r="R12" s="14"/>
      <c r="T12" s="14"/>
      <c r="U12" s="14"/>
      <c r="V12" s="22"/>
      <c r="W12" s="22"/>
      <c r="X12" s="23"/>
      <c r="Y12" s="23"/>
      <c r="Z12" s="23"/>
    </row>
    <row r="13">
      <c r="A13" s="23"/>
      <c r="B13" s="23"/>
      <c r="C13" s="23"/>
      <c r="D13" s="14"/>
      <c r="E13" s="5"/>
      <c r="F13" s="5"/>
      <c r="G13" s="5"/>
      <c r="H13" s="5"/>
      <c r="I13" s="5"/>
      <c r="J13" s="5"/>
      <c r="K13" s="12"/>
      <c r="L13" s="23"/>
      <c r="M13" s="14"/>
      <c r="N13" s="14"/>
      <c r="O13" s="14"/>
      <c r="P13" s="12"/>
      <c r="Q13" s="12"/>
      <c r="R13" s="12"/>
      <c r="S13" s="23"/>
      <c r="T13" s="23"/>
      <c r="U13" s="23"/>
      <c r="V13" s="23"/>
      <c r="W13" s="23"/>
      <c r="X13" s="23"/>
      <c r="Y13" s="23"/>
      <c r="Z13" s="23"/>
    </row>
    <row r="14">
      <c r="A14" s="23"/>
      <c r="B14" s="23"/>
      <c r="C14" s="23"/>
      <c r="D14" s="14"/>
      <c r="E14" s="5"/>
      <c r="F14" s="5"/>
      <c r="G14" s="5"/>
      <c r="H14" s="5"/>
      <c r="I14" s="5"/>
      <c r="J14" s="5"/>
      <c r="K14" s="12"/>
      <c r="L14" s="12"/>
      <c r="M14" s="14"/>
      <c r="N14" s="14"/>
      <c r="O14" s="14"/>
      <c r="P14" s="12"/>
      <c r="Q14" s="12"/>
      <c r="R14" s="12"/>
      <c r="S14" s="23"/>
      <c r="T14" s="23"/>
      <c r="U14" s="23"/>
      <c r="V14" s="23"/>
      <c r="W14" s="23"/>
      <c r="X14" s="23"/>
      <c r="Y14" s="23"/>
      <c r="Z14" s="23"/>
    </row>
    <row r="15">
      <c r="A15" s="23"/>
      <c r="B15" s="23"/>
      <c r="C15" s="23"/>
      <c r="D15" s="14"/>
      <c r="E15" s="5"/>
      <c r="F15" s="5"/>
      <c r="G15" s="5"/>
      <c r="H15" s="5"/>
      <c r="I15" s="5"/>
      <c r="J15" s="5"/>
      <c r="K15" s="12"/>
      <c r="L15" s="12"/>
      <c r="M15" s="14"/>
      <c r="N15" s="14"/>
      <c r="O15" s="14"/>
      <c r="P15" s="12"/>
      <c r="Q15" s="12"/>
      <c r="R15" s="12"/>
      <c r="S15" s="23"/>
      <c r="T15" s="23"/>
      <c r="U15" s="23"/>
      <c r="V15" s="23"/>
      <c r="W15" s="23"/>
      <c r="X15" s="23"/>
      <c r="Y15" s="23"/>
      <c r="Z15" s="23"/>
    </row>
    <row r="16">
      <c r="A16" s="14"/>
      <c r="B16" s="26" t="s">
        <v>77</v>
      </c>
      <c r="C16" s="26" t="s">
        <v>78</v>
      </c>
      <c r="D16" s="26" t="s">
        <v>79</v>
      </c>
      <c r="E16" s="27" t="s">
        <v>80</v>
      </c>
      <c r="F16" s="27" t="s">
        <v>81</v>
      </c>
      <c r="G16" s="28" t="s">
        <v>82</v>
      </c>
      <c r="H16" s="28" t="s">
        <v>83</v>
      </c>
      <c r="I16" s="28" t="s">
        <v>83</v>
      </c>
      <c r="J16" s="28" t="s">
        <v>83</v>
      </c>
      <c r="K16" s="12"/>
      <c r="L16" s="28" t="s">
        <v>84</v>
      </c>
      <c r="M16" s="3"/>
      <c r="O16" s="14"/>
      <c r="P16" s="12"/>
      <c r="Q16" s="12"/>
      <c r="R16" s="12"/>
      <c r="S16" s="23"/>
      <c r="T16" s="23"/>
      <c r="U16" s="23"/>
      <c r="V16" s="23"/>
      <c r="W16" s="23"/>
      <c r="X16" s="23"/>
      <c r="Y16" s="23"/>
      <c r="Z16" s="23"/>
    </row>
    <row r="17">
      <c r="A17" s="3" t="s">
        <v>66</v>
      </c>
      <c r="B17" s="5">
        <f t="shared" ref="B17:D17" si="1">D3+J3-G3</f>
        <v>-15.15698109</v>
      </c>
      <c r="C17" s="5">
        <f t="shared" si="1"/>
        <v>-16.03933927</v>
      </c>
      <c r="D17" s="5">
        <f t="shared" si="1"/>
        <v>-16.40290987</v>
      </c>
      <c r="E17" s="29">
        <f>'SAMPL5-CHX-ME'!D3+'SAMPL5-CHX-ME'!J3-'SAMPL5-CHX-ME'!G3</f>
        <v>-18.53231798</v>
      </c>
      <c r="F17" s="29">
        <f>'SAMPL5-CHX-ME'!E3+'SAMPL5-CHX-ME'!K3-'SAMPL5-CHX-ME'!H3</f>
        <v>-17.93234648</v>
      </c>
      <c r="G17" s="29">
        <f>'SAMPL5-CHX-ME'!F3+'SAMPL5-CHX-ME'!L3-'SAMPL5-CHX-ME'!I3</f>
        <v>-18.20848887</v>
      </c>
      <c r="H17" s="29">
        <f>-(D3-'SAMPL5-CHX-ME'!D3)/(2.303*298.15*0.001987)</f>
        <v>-2.630363707</v>
      </c>
      <c r="I17" s="29">
        <f>-(E3-'SAMPL5-CHX-ME'!E3)/(2.303*298.15*0.001987)</f>
        <v>-2.718898271</v>
      </c>
      <c r="J17" s="29">
        <f>-(F3-'SAMPL5-CHX-ME'!F3)/(2.303*298.15*0.001987)</f>
        <v>-2.568924934</v>
      </c>
      <c r="K17" s="29"/>
      <c r="L17" s="22">
        <v>1.4</v>
      </c>
      <c r="M17" s="3">
        <v>0.7</v>
      </c>
      <c r="N17" s="30"/>
      <c r="O17" s="30"/>
      <c r="P17" s="12"/>
      <c r="Q17" s="12"/>
      <c r="R17" s="12"/>
      <c r="S17" s="23"/>
      <c r="T17" s="23"/>
      <c r="U17" s="23"/>
      <c r="V17" s="23"/>
      <c r="W17" s="23"/>
      <c r="X17" s="23"/>
      <c r="Y17" s="23"/>
      <c r="Z17" s="23"/>
    </row>
    <row r="18">
      <c r="A18" s="3" t="s">
        <v>67</v>
      </c>
      <c r="B18" s="5">
        <f t="shared" ref="B18:D18" si="2">D4+J4-G4</f>
        <v>-17.69296341</v>
      </c>
      <c r="C18" s="5">
        <f t="shared" si="2"/>
        <v>-15.97344404</v>
      </c>
      <c r="D18" s="5">
        <f t="shared" si="2"/>
        <v>-19.65413099</v>
      </c>
      <c r="E18" s="29">
        <f>'SAMPL5-CHX-ME'!D4+'SAMPL5-CHX-ME'!J4-'SAMPL5-CHX-ME'!G4</f>
        <v>-14.61162552</v>
      </c>
      <c r="F18" s="29">
        <f>'SAMPL5-CHX-ME'!E4+'SAMPL5-CHX-ME'!K4-'SAMPL5-CHX-ME'!H4</f>
        <v>-14.70113317</v>
      </c>
      <c r="G18" s="29">
        <f>'SAMPL5-CHX-ME'!F4+'SAMPL5-CHX-ME'!L4-'SAMPL5-CHX-ME'!I4</f>
        <v>-14.58279545</v>
      </c>
      <c r="H18" s="29">
        <f>-(D4-'SAMPL5-CHX-ME'!D4)/(2.303*298.15*0.001987)</f>
        <v>0.5382886251</v>
      </c>
      <c r="I18" s="29">
        <f>-(E4-'SAMPL5-CHX-ME'!E4)/(2.303*298.15*0.001987)</f>
        <v>0.06089955781</v>
      </c>
      <c r="J18" s="29">
        <f>-(F4-'SAMPL5-CHX-ME'!F4)/(2.303*298.15*0.001987)</f>
        <v>2.477039316</v>
      </c>
      <c r="K18" s="29"/>
      <c r="L18" s="22">
        <v>1.7</v>
      </c>
      <c r="M18" s="22">
        <v>0.3</v>
      </c>
      <c r="N18" s="31"/>
      <c r="O18" s="23"/>
      <c r="P18" s="12"/>
      <c r="Q18" s="3"/>
      <c r="R18" s="32"/>
      <c r="S18" s="23"/>
      <c r="T18" s="23"/>
      <c r="U18" s="23"/>
      <c r="V18" s="23"/>
      <c r="W18" s="23"/>
      <c r="X18" s="23"/>
      <c r="Y18" s="23"/>
      <c r="Z18" s="23"/>
    </row>
    <row r="19">
      <c r="A19" s="3" t="s">
        <v>68</v>
      </c>
      <c r="B19" s="5">
        <f t="shared" ref="B19:D19" si="3">D5+J5-G5</f>
        <v>-10.19640443</v>
      </c>
      <c r="C19" s="5">
        <f t="shared" si="3"/>
        <v>-10.50238937</v>
      </c>
      <c r="D19" s="5">
        <f t="shared" si="3"/>
        <v>-10.26394307</v>
      </c>
      <c r="E19" s="29">
        <f>'SAMPL5-CHX-ME'!D5+'SAMPL5-CHX-ME'!J5-'SAMPL5-CHX-ME'!G5</f>
        <v>-14.7017511</v>
      </c>
      <c r="F19" s="29">
        <f>'SAMPL5-CHX-ME'!E5+'SAMPL5-CHX-ME'!K5-'SAMPL5-CHX-ME'!H5</f>
        <v>-14.54509146</v>
      </c>
      <c r="G19" s="29">
        <f>'SAMPL5-CHX-ME'!F5+'SAMPL5-CHX-ME'!L5-'SAMPL5-CHX-ME'!I5</f>
        <v>-14.63121509</v>
      </c>
      <c r="H19" s="29">
        <f>-(D5-'SAMPL5-CHX-ME'!D5)/(2.303*298.15*0.001987)</f>
        <v>-3.066552902</v>
      </c>
      <c r="I19" s="29">
        <f>-(E5-'SAMPL5-CHX-ME'!E5)/(2.303*298.15*0.001987)</f>
        <v>-3.007501483</v>
      </c>
      <c r="J19" s="29">
        <f>-(F5-'SAMPL5-CHX-ME'!F5)/(2.303*298.15*0.001987)</f>
        <v>-3.10517236</v>
      </c>
      <c r="K19" s="29"/>
      <c r="L19" s="22">
        <v>1.2</v>
      </c>
      <c r="M19" s="22">
        <v>0.3</v>
      </c>
      <c r="N19" s="31"/>
      <c r="O19" s="23"/>
      <c r="P19" s="12"/>
      <c r="Q19" s="3"/>
      <c r="R19" s="31"/>
      <c r="S19" s="23"/>
      <c r="T19" s="23"/>
      <c r="U19" s="23"/>
      <c r="V19" s="23"/>
      <c r="W19" s="23"/>
      <c r="X19" s="23"/>
      <c r="Y19" s="23"/>
      <c r="Z19" s="23"/>
    </row>
    <row r="20">
      <c r="A20" s="3" t="s">
        <v>69</v>
      </c>
      <c r="B20" s="5">
        <f t="shared" ref="B20:D20" si="4">D6+J6-G6</f>
        <v>-13.76114173</v>
      </c>
      <c r="C20" s="5">
        <f t="shared" si="4"/>
        <v>-13.83156161</v>
      </c>
      <c r="D20" s="5">
        <f t="shared" si="4"/>
        <v>-13.77539201</v>
      </c>
      <c r="E20" s="29">
        <f>'SAMPL5-CHX-ME'!D6+'SAMPL5-CHX-ME'!J6-'SAMPL5-CHX-ME'!G6</f>
        <v>-17.79701458</v>
      </c>
      <c r="F20" s="29">
        <f>'SAMPL5-CHX-ME'!E6+'SAMPL5-CHX-ME'!K6-'SAMPL5-CHX-ME'!H6</f>
        <v>-17.67638914</v>
      </c>
      <c r="G20" s="29">
        <f>'SAMPL5-CHX-ME'!F6+'SAMPL5-CHX-ME'!L6-'SAMPL5-CHX-ME'!I6</f>
        <v>-17.82558013</v>
      </c>
      <c r="H20" s="29">
        <f>-(D6-'SAMPL5-CHX-ME'!D6)/(2.303*298.15*0.001987)</f>
        <v>-2.812211335</v>
      </c>
      <c r="I20" s="29">
        <f>-(E6-'SAMPL5-CHX-ME'!E6)/(2.303*298.15*0.001987)</f>
        <v>-2.804264398</v>
      </c>
      <c r="J20" s="29">
        <f>-(F6-'SAMPL5-CHX-ME'!F6)/(2.303*298.15*0.001987)</f>
        <v>-2.750330241</v>
      </c>
      <c r="K20" s="29"/>
      <c r="L20" s="22">
        <v>0.2</v>
      </c>
      <c r="M20" s="22">
        <v>0.3</v>
      </c>
      <c r="N20" s="31"/>
      <c r="O20" s="31"/>
      <c r="P20" s="12"/>
      <c r="Q20" s="3"/>
      <c r="R20" s="32"/>
      <c r="S20" s="23"/>
      <c r="T20" s="23"/>
      <c r="U20" s="23"/>
      <c r="V20" s="23"/>
      <c r="W20" s="23"/>
      <c r="X20" s="23"/>
      <c r="Y20" s="23"/>
      <c r="Z20" s="23"/>
    </row>
    <row r="21">
      <c r="A21" s="3" t="s">
        <v>70</v>
      </c>
      <c r="B21" s="5">
        <f t="shared" ref="B21:D21" si="5">D7+J7-G7</f>
        <v>-10.91105977</v>
      </c>
      <c r="C21" s="5">
        <f t="shared" si="5"/>
        <v>-10.92305588</v>
      </c>
      <c r="D21" s="5">
        <f t="shared" si="5"/>
        <v>-10.91829117</v>
      </c>
      <c r="E21" s="29">
        <f>'SAMPL5-CHX-ME'!D7+'SAMPL5-CHX-ME'!J7-'SAMPL5-CHX-ME'!G7</f>
        <v>-13.44933544</v>
      </c>
      <c r="F21" s="29">
        <f>'SAMPL5-CHX-ME'!E7+'SAMPL5-CHX-ME'!K7-'SAMPL5-CHX-ME'!H7</f>
        <v>-13.60265574</v>
      </c>
      <c r="G21" s="29">
        <f>'SAMPL5-CHX-ME'!F7+'SAMPL5-CHX-ME'!L7-'SAMPL5-CHX-ME'!I7</f>
        <v>-13.57545104</v>
      </c>
      <c r="H21" s="29">
        <f>-(D7-'SAMPL5-CHX-ME'!D7)/(2.303*298.15*0.001987)</f>
        <v>-2.08990758</v>
      </c>
      <c r="I21" s="29">
        <f>-(E7-'SAMPL5-CHX-ME'!E7)/(2.303*298.15*0.001987)</f>
        <v>-2.107805566</v>
      </c>
      <c r="J21" s="29">
        <f>-(F7-'SAMPL5-CHX-ME'!F7)/(2.303*298.15*0.001987)</f>
        <v>-2.056355413</v>
      </c>
      <c r="K21" s="29"/>
      <c r="L21" s="22">
        <v>0.8</v>
      </c>
      <c r="M21" s="22">
        <v>0.6</v>
      </c>
      <c r="N21" s="31"/>
      <c r="O21" s="23"/>
      <c r="P21" s="12"/>
      <c r="Q21" s="3"/>
      <c r="R21" s="32"/>
      <c r="S21" s="23"/>
      <c r="T21" s="23"/>
      <c r="U21" s="23"/>
      <c r="V21" s="23"/>
      <c r="W21" s="23"/>
      <c r="X21" s="23"/>
      <c r="Y21" s="23"/>
      <c r="Z21" s="23"/>
    </row>
    <row r="22">
      <c r="A22" s="3" t="s">
        <v>71</v>
      </c>
      <c r="B22" s="5">
        <f t="shared" ref="B22:D22" si="6">D8+J8-G8</f>
        <v>-13.17653099</v>
      </c>
      <c r="C22" s="5">
        <f t="shared" si="6"/>
        <v>-12.9200592</v>
      </c>
      <c r="D22" s="5" t="str">
        <f t="shared" si="6"/>
        <v>#VALUE!</v>
      </c>
      <c r="E22" s="29">
        <f>'SAMPL5-CHX-ME'!D8+'SAMPL5-CHX-ME'!J8-'SAMPL5-CHX-ME'!G8</f>
        <v>-18.15886348</v>
      </c>
      <c r="F22" s="29">
        <f>'SAMPL5-CHX-ME'!E8+'SAMPL5-CHX-ME'!K8-'SAMPL5-CHX-ME'!H8</f>
        <v>-18.54145581</v>
      </c>
      <c r="G22" s="29">
        <f>'SAMPL5-CHX-ME'!F8+'SAMPL5-CHX-ME'!L8-'SAMPL5-CHX-ME'!I8</f>
        <v>-18.18261506</v>
      </c>
      <c r="H22" s="29">
        <f>-(D8-'SAMPL5-CHX-ME'!D8)/(2.303*298.15*0.001987)</f>
        <v>-3.887665358</v>
      </c>
      <c r="I22" s="29">
        <f>-(E8-'SAMPL5-CHX-ME'!E8)/(2.303*298.15*0.001987)</f>
        <v>-3.922520059</v>
      </c>
      <c r="J22" s="29">
        <f>-(F8-'SAMPL5-CHX-ME'!F8)/(2.303*298.15*0.001987)</f>
        <v>-4.000050158</v>
      </c>
      <c r="K22" s="29"/>
      <c r="L22" s="22">
        <v>1.4</v>
      </c>
      <c r="M22" s="22">
        <v>0.3</v>
      </c>
      <c r="N22" s="31"/>
      <c r="O22" s="31"/>
      <c r="P22" s="12"/>
      <c r="Q22" s="3"/>
      <c r="R22" s="31"/>
      <c r="S22" s="23"/>
      <c r="T22" s="23"/>
      <c r="U22" s="23"/>
      <c r="V22" s="23"/>
      <c r="W22" s="23"/>
      <c r="X22" s="23"/>
      <c r="Y22" s="23"/>
      <c r="Z22" s="23"/>
    </row>
    <row r="23">
      <c r="A23" s="3" t="s">
        <v>73</v>
      </c>
      <c r="B23" s="5">
        <f t="shared" ref="B23:D23" si="7">D9+J9-G9</f>
        <v>-13.30218953</v>
      </c>
      <c r="C23" s="5">
        <f t="shared" si="7"/>
        <v>-13.44905411</v>
      </c>
      <c r="D23" s="5">
        <f t="shared" si="7"/>
        <v>-13.99340214</v>
      </c>
      <c r="E23" s="29">
        <f>'SAMPL5-CHX-ME'!D9+'SAMPL5-CHX-ME'!J9-'SAMPL5-CHX-ME'!G9</f>
        <v>-14.28099455</v>
      </c>
      <c r="F23" s="29">
        <f>'SAMPL5-CHX-ME'!E9+'SAMPL5-CHX-ME'!K9-'SAMPL5-CHX-ME'!H9</f>
        <v>-14.32451872</v>
      </c>
      <c r="G23" s="29">
        <f>'SAMPL5-CHX-ME'!F9+'SAMPL5-CHX-ME'!L9-'SAMPL5-CHX-ME'!I9</f>
        <v>-14.29216138</v>
      </c>
      <c r="H23" s="29">
        <f>-(D9-'SAMPL5-CHX-ME'!D9)/(2.303*298.15*0.001987)</f>
        <v>-1.523736928</v>
      </c>
      <c r="I23" s="29">
        <f>-(E9-'SAMPL5-CHX-ME'!E9)/(2.303*298.15*0.001987)</f>
        <v>-1.594104923</v>
      </c>
      <c r="J23" s="29">
        <f>-(F9-'SAMPL5-CHX-ME'!F9)/(2.303*298.15*0.001987)</f>
        <v>-1.541300225</v>
      </c>
      <c r="K23" s="29"/>
      <c r="L23" s="22">
        <v>0.0</v>
      </c>
      <c r="M23" s="22">
        <v>0.4</v>
      </c>
      <c r="N23" s="31"/>
      <c r="O23" s="32"/>
      <c r="P23" s="23"/>
      <c r="Q23" s="3"/>
      <c r="R23" s="32"/>
      <c r="S23" s="23"/>
      <c r="T23" s="23"/>
      <c r="U23" s="23"/>
      <c r="V23" s="23"/>
      <c r="W23" s="23"/>
      <c r="X23" s="23"/>
      <c r="Y23" s="23"/>
      <c r="Z23" s="23"/>
    </row>
    <row r="24">
      <c r="A24" s="3" t="s">
        <v>74</v>
      </c>
      <c r="B24" s="5">
        <f t="shared" ref="B24:D24" si="8">D10+J10-G10</f>
        <v>-31.09058514</v>
      </c>
      <c r="C24" s="5">
        <f t="shared" si="8"/>
        <v>-30.91975698</v>
      </c>
      <c r="D24" s="5" t="str">
        <f t="shared" si="8"/>
        <v>#VALUE!</v>
      </c>
      <c r="E24" s="29">
        <f>'SAMPL5-CHX-ME'!D10+'SAMPL5-CHX-ME'!J10-'SAMPL5-CHX-ME'!G10</f>
        <v>-16.28273086</v>
      </c>
      <c r="F24" s="29">
        <f>'SAMPL5-CHX-ME'!E10+'SAMPL5-CHX-ME'!K10-'SAMPL5-CHX-ME'!H10</f>
        <v>-16.38071255</v>
      </c>
      <c r="G24" s="29">
        <f>'SAMPL5-CHX-ME'!F10+'SAMPL5-CHX-ME'!L10-'SAMPL5-CHX-ME'!I10</f>
        <v>-16.35946551</v>
      </c>
      <c r="H24" s="29">
        <f>-(D10-'SAMPL5-CHX-ME'!D10)/(2.303*298.15*0.001987)</f>
        <v>5.994660275</v>
      </c>
      <c r="I24" s="29">
        <f>-(E10-'SAMPL5-CHX-ME'!E10)/(2.303*298.15*0.001987)</f>
        <v>5.956509347</v>
      </c>
      <c r="J24" s="29">
        <f>-(F10-'SAMPL5-CHX-ME'!F10)/(2.303*298.15*0.001987)</f>
        <v>5.901157071</v>
      </c>
      <c r="K24" s="29"/>
      <c r="L24" s="22">
        <v>-1.9</v>
      </c>
      <c r="M24" s="22">
        <v>0.3</v>
      </c>
      <c r="N24" s="31"/>
      <c r="O24" s="23"/>
      <c r="P24" s="23"/>
      <c r="Q24" s="3"/>
      <c r="R24" s="32"/>
      <c r="S24" s="23"/>
      <c r="T24" s="23"/>
      <c r="U24" s="23"/>
      <c r="V24" s="23"/>
      <c r="W24" s="23"/>
      <c r="X24" s="23"/>
      <c r="Y24" s="23"/>
      <c r="Z24" s="23"/>
    </row>
    <row r="25">
      <c r="A25" s="3" t="s">
        <v>75</v>
      </c>
      <c r="B25" s="5">
        <f t="shared" ref="B25:D25" si="9">D11+J11-G11</f>
        <v>-16.60701159</v>
      </c>
      <c r="C25" s="5">
        <f t="shared" si="9"/>
        <v>-16.68142811</v>
      </c>
      <c r="D25" s="5" t="str">
        <f t="shared" si="9"/>
        <v>#VALUE!</v>
      </c>
      <c r="E25" s="29">
        <f>'SAMPL5-CHX-ME'!D11+'SAMPL5-CHX-ME'!J11-'SAMPL5-CHX-ME'!G11</f>
        <v>-12.56428869</v>
      </c>
      <c r="F25" s="29">
        <f>'SAMPL5-CHX-ME'!E11+'SAMPL5-CHX-ME'!K11-'SAMPL5-CHX-ME'!H11</f>
        <v>-12.55848682</v>
      </c>
      <c r="G25" s="29">
        <f>'SAMPL5-CHX-ME'!F11+'SAMPL5-CHX-ME'!L11-'SAMPL5-CHX-ME'!I11</f>
        <v>-12.48603306</v>
      </c>
      <c r="H25" s="29">
        <f>-(D11-'SAMPL5-CHX-ME'!D11)/(2.303*298.15*0.001987)</f>
        <v>3.405683794</v>
      </c>
      <c r="I25" s="29">
        <f>-(E11-'SAMPL5-CHX-ME'!E11)/(2.303*298.15*0.001987)</f>
        <v>3.379197431</v>
      </c>
      <c r="J25" s="29">
        <f>-(F11-'SAMPL5-CHX-ME'!F11)/(2.303*298.15*0.001987)</f>
        <v>3.474901824</v>
      </c>
      <c r="K25" s="29"/>
      <c r="L25" s="22">
        <v>-2.2</v>
      </c>
      <c r="M25" s="22">
        <v>0.3</v>
      </c>
      <c r="N25" s="31"/>
      <c r="O25" s="32"/>
      <c r="P25" s="23"/>
      <c r="Q25" s="3"/>
      <c r="R25" s="31"/>
      <c r="S25" s="23"/>
      <c r="T25" s="23"/>
      <c r="U25" s="23"/>
      <c r="V25" s="23"/>
      <c r="W25" s="23"/>
      <c r="X25" s="23"/>
      <c r="Y25" s="23"/>
      <c r="Z25" s="23"/>
    </row>
    <row r="26">
      <c r="A26" s="5" t="s">
        <v>76</v>
      </c>
      <c r="B26" s="5">
        <f t="shared" ref="B26:D26" si="10">D12+J12-G12</f>
        <v>-14.0532414</v>
      </c>
      <c r="C26" s="5">
        <f t="shared" si="10"/>
        <v>-14.33445611</v>
      </c>
      <c r="D26" s="5" t="str">
        <f t="shared" si="10"/>
        <v>#VALUE!</v>
      </c>
      <c r="E26" s="29">
        <f>'SAMPL5-CHX-ME'!D12+'SAMPL5-CHX-ME'!J12-'SAMPL5-CHX-ME'!G12</f>
        <v>-18.10508788</v>
      </c>
      <c r="F26" s="29">
        <f>'SAMPL5-CHX-ME'!E12+'SAMPL5-CHX-ME'!K12-'SAMPL5-CHX-ME'!H12</f>
        <v>-18.26286957</v>
      </c>
      <c r="G26" s="29">
        <f>'SAMPL5-CHX-ME'!F12+'SAMPL5-CHX-ME'!L12-'SAMPL5-CHX-ME'!I12</f>
        <v>-18.25100086</v>
      </c>
      <c r="H26" s="29">
        <f>-(D12-'SAMPL5-CHX-ME'!D12)/(2.303*298.15*0.001987)</f>
        <v>-4.557838412</v>
      </c>
      <c r="I26" s="29">
        <f>-(E12-'SAMPL5-CHX-ME'!E12)/(2.303*298.15*0.001987)</f>
        <v>-4.642201468</v>
      </c>
      <c r="J26" s="29">
        <f>-(F12-'SAMPL5-CHX-ME'!F12)/(2.303*298.15*0.001987)</f>
        <v>-4.559588038</v>
      </c>
      <c r="K26" s="29"/>
      <c r="L26" s="22">
        <v>0.7</v>
      </c>
      <c r="M26" s="22">
        <v>0.2</v>
      </c>
      <c r="N26" s="31"/>
      <c r="O26" s="23"/>
      <c r="P26" s="23"/>
      <c r="Q26" s="3"/>
      <c r="R26" s="32"/>
      <c r="S26" s="23"/>
      <c r="T26" s="23"/>
      <c r="U26" s="23"/>
      <c r="V26" s="23"/>
      <c r="W26" s="23"/>
      <c r="X26" s="23"/>
      <c r="Y26" s="23"/>
      <c r="Z26" s="23"/>
    </row>
    <row r="27">
      <c r="A27" s="23"/>
      <c r="B27" s="23"/>
      <c r="C27" s="23"/>
      <c r="D27" s="23"/>
      <c r="E27" s="23"/>
      <c r="F27" s="23"/>
      <c r="G27" s="5"/>
      <c r="H27" s="23"/>
      <c r="I27" s="29"/>
      <c r="J27" s="23"/>
      <c r="K27" s="30"/>
      <c r="L27" s="31"/>
      <c r="M27" s="31"/>
      <c r="N27" s="31"/>
      <c r="O27" s="23"/>
      <c r="P27" s="23"/>
      <c r="Q27" s="5"/>
      <c r="R27" s="32"/>
      <c r="S27" s="23"/>
      <c r="T27" s="23"/>
      <c r="U27" s="23"/>
      <c r="V27" s="23"/>
      <c r="W27" s="23"/>
      <c r="X27" s="23"/>
      <c r="Y27" s="23"/>
      <c r="Z27" s="23"/>
    </row>
    <row r="28">
      <c r="A28" s="23"/>
      <c r="B28" s="28" t="s">
        <v>85</v>
      </c>
      <c r="C28" s="28" t="s">
        <v>85</v>
      </c>
      <c r="D28" s="28" t="s">
        <v>85</v>
      </c>
      <c r="E28" s="28" t="s">
        <v>86</v>
      </c>
      <c r="F28" s="28" t="s">
        <v>86</v>
      </c>
      <c r="G28" s="28" t="s">
        <v>86</v>
      </c>
      <c r="H28" s="33" t="s">
        <v>87</v>
      </c>
      <c r="I28" s="33" t="s">
        <v>87</v>
      </c>
      <c r="J28" s="33" t="s">
        <v>87</v>
      </c>
      <c r="K28" s="34" t="s">
        <v>88</v>
      </c>
      <c r="L28" s="34" t="s">
        <v>88</v>
      </c>
      <c r="M28" s="34" t="s">
        <v>88</v>
      </c>
      <c r="N28" s="32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3" t="s">
        <v>66</v>
      </c>
      <c r="B29" s="29">
        <f>(D3+J3-('SAMPL5-CHX-ME'!D3+'SAMPL5-CHX-ME'!J3))/(2.303*298.15*0.001987)</f>
        <v>2.473947659</v>
      </c>
      <c r="C29" s="29">
        <f>(E3+K3-('SAMPL5-CHX-ME'!E3+'SAMPL5-CHX-ME'!K3))/(2.303*298.15*0.001987)</f>
        <v>1.387476541</v>
      </c>
      <c r="D29" s="29">
        <f>(F3+L3-('SAMPL5-CHX-ME'!F3+'SAMPL5-CHX-ME'!L3))/(2.303*298.15*0.001987)</f>
        <v>1.323396174</v>
      </c>
      <c r="E29" s="29">
        <f>(D3+M3-('SAMPL5-CHX-ME'!D3+'SAMPL5-CHX-ME'!M3))/(2.303*298.15*0.001987)</f>
        <v>1.956945422</v>
      </c>
      <c r="F29" s="29" t="str">
        <f>(E3+N3-('SAMPL5-CHX-ME'!E3+'SAMPL5-CHX-ME'!N3))/(2.303*298.15*0.001987)</f>
        <v>#VALUE!</v>
      </c>
      <c r="G29" s="29">
        <f>(F3+O3-('SAMPL5-CHX-ME'!F3+'SAMPL5-CHX-ME'!O3))/(2.303*298.15*0.001987)</f>
        <v>1.608243357</v>
      </c>
      <c r="H29" s="29">
        <f>(D3+P3-('SAMPL5-CHX-ME'!D3+'SAMPL5-CHX-ME'!P3))/(2.303*298.15*0.001987)</f>
        <v>1.848995025</v>
      </c>
      <c r="I29" s="29">
        <f>(E3+Q3-('SAMPL5-CHX-ME'!E3+'SAMPL5-CHX-ME'!Q3))/(2.303*298.15*0.001987)</f>
        <v>1.918775187</v>
      </c>
      <c r="J29" s="29">
        <f>(F3+R3-('SAMPL5-CHX-ME'!F3+'SAMPL5-CHX-ME'!R3))/(2.303*298.15*0.001987)</f>
        <v>-65.22493441</v>
      </c>
      <c r="K29" s="29">
        <f>(D3+S3-('SAMPL5-CHX-ME'!D3+'SAMPL5-CHX-ME'!S3))/(2.303*298.15*0.001987)</f>
        <v>2.630363707</v>
      </c>
      <c r="L29" s="29">
        <f>(E3+T3-('SAMPL5-CHX-ME'!E3+'SAMPL5-CHX-ME'!T3))/(2.303*298.15*0.001987)</f>
        <v>2.718898271</v>
      </c>
      <c r="M29" s="29">
        <f>(F3+U3-('SAMPL5-CHX-ME'!F3+'SAMPL5-CHX-ME'!U3))/(2.303*298.15*0.001987)</f>
        <v>2.568924934</v>
      </c>
      <c r="N29" s="32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3" t="s">
        <v>67</v>
      </c>
      <c r="B30" s="29">
        <f>(D4+J4-('SAMPL5-CHX-ME'!D4+'SAMPL5-CHX-ME'!J4))/(2.303*298.15*0.001987)</f>
        <v>-2.258461572</v>
      </c>
      <c r="C30" s="29">
        <f>(E4+K4-('SAMPL5-CHX-ME'!E4+'SAMPL5-CHX-ME'!K4))/(2.303*298.15*0.001987)</f>
        <v>-0.9325381712</v>
      </c>
      <c r="D30" s="29">
        <f>(F4+L4-('SAMPL5-CHX-ME'!F4+'SAMPL5-CHX-ME'!L4))/(2.303*298.15*0.001987)</f>
        <v>-3.717027097</v>
      </c>
      <c r="E30" s="29">
        <f>(D4+M4-('SAMPL5-CHX-ME'!D4+'SAMPL5-CHX-ME'!M4))/(2.303*298.15*0.001987)</f>
        <v>-1.802235108</v>
      </c>
      <c r="F30" s="29">
        <f>(E4+N4-('SAMPL5-CHX-ME'!E4+'SAMPL5-CHX-ME'!N4))/(2.303*298.15*0.001987)</f>
        <v>-1.576344924</v>
      </c>
      <c r="G30" s="29">
        <f>(F4+O4-('SAMPL5-CHX-ME'!F4+'SAMPL5-CHX-ME'!O4))/(2.303*298.15*0.001987)</f>
        <v>-4.346209506</v>
      </c>
      <c r="H30" s="29">
        <f>(D4+P4-('SAMPL5-CHX-ME'!D4+'SAMPL5-CHX-ME'!P4))/(2.303*298.15*0.001987)</f>
        <v>-1.975785352</v>
      </c>
      <c r="I30" s="29">
        <f>(E4+Q4-('SAMPL5-CHX-ME'!E4+'SAMPL5-CHX-ME'!Q4))/(2.303*298.15*0.001987)</f>
        <v>-0.9916385818</v>
      </c>
      <c r="J30" s="29">
        <f>(F4+R4-('SAMPL5-CHX-ME'!F4+'SAMPL5-CHX-ME'!R4))/(2.303*298.15*0.001987)</f>
        <v>68.83255145</v>
      </c>
      <c r="K30" s="29">
        <f>(D4+S4-('SAMPL5-CHX-ME'!D4+'SAMPL5-CHX-ME'!S4))/(2.303*298.15*0.001987)</f>
        <v>-0.5382886251</v>
      </c>
      <c r="L30" s="29">
        <f>(E4+T4-('SAMPL5-CHX-ME'!E4+'SAMPL5-CHX-ME'!T4))/(2.303*298.15*0.001987)</f>
        <v>-0.06089955781</v>
      </c>
      <c r="M30" s="29">
        <f>(F4+U4-('SAMPL5-CHX-ME'!F4+'SAMPL5-CHX-ME'!U4))/(2.303*298.15*0.001987)</f>
        <v>-2.477039316</v>
      </c>
      <c r="N30" s="32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3" t="s">
        <v>68</v>
      </c>
      <c r="B31" s="29">
        <f>(D5+J5-('SAMPL5-CHX-ME'!D5+'SAMPL5-CHX-ME'!J5))/(2.303*298.15*0.001987)</f>
        <v>3.302186478</v>
      </c>
      <c r="C31" s="29">
        <f>(E5+K5-('SAMPL5-CHX-ME'!E5+'SAMPL5-CHX-ME'!K5))/(2.303*298.15*0.001987)</f>
        <v>2.96309189</v>
      </c>
      <c r="D31" s="29">
        <f>(F5+L5-('SAMPL5-CHX-ME'!F5+'SAMPL5-CHX-ME'!L5))/(2.303*298.15*0.001987)</f>
        <v>3.200984898</v>
      </c>
      <c r="E31" s="29">
        <f>(D5+M5-('SAMPL5-CHX-ME'!D5+'SAMPL5-CHX-ME'!M5))/(2.303*298.15*0.001987)</f>
        <v>3.170459471</v>
      </c>
      <c r="F31" s="29">
        <f>(E5+N5-('SAMPL5-CHX-ME'!E5+'SAMPL5-CHX-ME'!N5))/(2.303*298.15*0.001987)</f>
        <v>3.115324941</v>
      </c>
      <c r="G31" s="29">
        <f>(F5+O5-('SAMPL5-CHX-ME'!F5+'SAMPL5-CHX-ME'!O5))/(2.303*298.15*0.001987)</f>
        <v>3.254926173</v>
      </c>
      <c r="H31" s="29">
        <f>(D5+P5-('SAMPL5-CHX-ME'!D5+'SAMPL5-CHX-ME'!P5))/(2.303*298.15*0.001987)</f>
        <v>3.47603389</v>
      </c>
      <c r="I31" s="29">
        <f>(E5+Q5-('SAMPL5-CHX-ME'!E5+'SAMPL5-CHX-ME'!Q5))/(2.303*298.15*0.001987)</f>
        <v>3.304935632</v>
      </c>
      <c r="J31" s="29">
        <f>(F5+R5-('SAMPL5-CHX-ME'!F5+'SAMPL5-CHX-ME'!R5))/(2.303*298.15*0.001987)</f>
        <v>85.5405861</v>
      </c>
      <c r="K31" s="29">
        <f>(D5+S5-('SAMPL5-CHX-ME'!D5+'SAMPL5-CHX-ME'!S5))/(2.303*298.15*0.001987)</f>
        <v>3.066552902</v>
      </c>
      <c r="L31" s="29">
        <f>(E5+T5-('SAMPL5-CHX-ME'!E5+'SAMPL5-CHX-ME'!T5))/(2.303*298.15*0.001987)</f>
        <v>3.007501483</v>
      </c>
      <c r="M31" s="29">
        <f>(F5+U5-('SAMPL5-CHX-ME'!F5+'SAMPL5-CHX-ME'!U5))/(2.303*298.15*0.001987)</f>
        <v>3.10517236</v>
      </c>
      <c r="N31" s="35"/>
      <c r="O31" s="35"/>
      <c r="P31" s="35"/>
      <c r="Q31" s="35"/>
      <c r="R31" s="35"/>
      <c r="S31" s="23"/>
      <c r="T31" s="23"/>
      <c r="U31" s="23"/>
      <c r="V31" s="23"/>
      <c r="W31" s="23"/>
      <c r="X31" s="23"/>
      <c r="Y31" s="23"/>
      <c r="Z31" s="23"/>
    </row>
    <row r="32">
      <c r="A32" s="3" t="s">
        <v>69</v>
      </c>
      <c r="B32" s="29">
        <f>(D6+J6-('SAMPL5-CHX-ME'!D6+'SAMPL5-CHX-ME'!J6))/(2.303*298.15*0.001987)</f>
        <v>2.958086413</v>
      </c>
      <c r="C32" s="29">
        <f>(E6+K6-('SAMPL5-CHX-ME'!E6+'SAMPL5-CHX-ME'!K6))/(2.303*298.15*0.001987)</f>
        <v>2.818060052</v>
      </c>
      <c r="D32" s="29">
        <f>(F6+L6-('SAMPL5-CHX-ME'!F6+'SAMPL5-CHX-ME'!L6))/(2.303*298.15*0.001987)</f>
        <v>2.968578772</v>
      </c>
      <c r="E32" s="29">
        <f>(D6+M6-('SAMPL5-CHX-ME'!D6+'SAMPL5-CHX-ME'!M6))/(2.303*298.15*0.001987)</f>
        <v>2.811484673</v>
      </c>
      <c r="F32" s="29">
        <f>(E6+N6-('SAMPL5-CHX-ME'!E6+'SAMPL5-CHX-ME'!N6))/(2.303*298.15*0.001987)</f>
        <v>2.875364026</v>
      </c>
      <c r="G32" s="29">
        <f>(F6+O6-('SAMPL5-CHX-ME'!F6+'SAMPL5-CHX-ME'!O6))/(2.303*298.15*0.001987)</f>
        <v>2.591033299</v>
      </c>
      <c r="H32" s="29">
        <f>(D6+P6-('SAMPL5-CHX-ME'!D6+'SAMPL5-CHX-ME'!P6))/(2.303*298.15*0.001987)</f>
        <v>3.010724914</v>
      </c>
      <c r="I32" s="29">
        <f>(E6+Q6-('SAMPL5-CHX-ME'!E6+'SAMPL5-CHX-ME'!Q6))/(2.303*298.15*0.001987)</f>
        <v>2.678326459</v>
      </c>
      <c r="J32" s="29">
        <f>(F6+R6-('SAMPL5-CHX-ME'!F6+'SAMPL5-CHX-ME'!R6))/(2.303*298.15*0.001987)</f>
        <v>-3.22548602</v>
      </c>
      <c r="K32" s="29">
        <f>(D6+S6-('SAMPL5-CHX-ME'!D6+'SAMPL5-CHX-ME'!S6))/(2.303*298.15*0.001987)</f>
        <v>2.812211335</v>
      </c>
      <c r="L32" s="29">
        <f>(E6+T6-('SAMPL5-CHX-ME'!E6+'SAMPL5-CHX-ME'!T6))/(2.303*298.15*0.001987)</f>
        <v>2.804264398</v>
      </c>
      <c r="M32" s="29">
        <f>(F6+U6-('SAMPL5-CHX-ME'!F6+'SAMPL5-CHX-ME'!U6))/(2.303*298.15*0.001987)</f>
        <v>2.750330241</v>
      </c>
      <c r="N32" s="32"/>
      <c r="O32" s="32"/>
      <c r="P32" s="32"/>
      <c r="Q32" s="32"/>
      <c r="R32" s="32"/>
      <c r="S32" s="23"/>
      <c r="T32" s="23"/>
      <c r="U32" s="23"/>
      <c r="V32" s="23"/>
      <c r="W32" s="23"/>
      <c r="X32" s="23"/>
      <c r="Y32" s="23"/>
      <c r="Z32" s="23"/>
    </row>
    <row r="33">
      <c r="A33" s="3" t="s">
        <v>70</v>
      </c>
      <c r="B33" s="29">
        <f>(D7+J7-('SAMPL5-CHX-ME'!D7+'SAMPL5-CHX-ME'!J7))/(2.303*298.15*0.001987)</f>
        <v>1.860425009</v>
      </c>
      <c r="C33" s="29">
        <f>(E7+K7-('SAMPL5-CHX-ME'!E7+'SAMPL5-CHX-ME'!K7))/(2.303*298.15*0.001987)</f>
        <v>1.96400834</v>
      </c>
      <c r="D33" s="29">
        <f>(F7+L7-('SAMPL5-CHX-ME'!F7+'SAMPL5-CHX-ME'!L7))/(2.303*298.15*0.001987)</f>
        <v>1.947560985</v>
      </c>
      <c r="E33" s="29">
        <f>(D7+M7-('SAMPL5-CHX-ME'!D7+'SAMPL5-CHX-ME'!M7))/(2.303*298.15*0.001987)</f>
        <v>2.088682273</v>
      </c>
      <c r="F33" s="29">
        <f>(E7+N7-('SAMPL5-CHX-ME'!E7+'SAMPL5-CHX-ME'!N7))/(2.303*298.15*0.001987)</f>
        <v>2.007759453</v>
      </c>
      <c r="G33" s="29">
        <f>(F7+O7-('SAMPL5-CHX-ME'!F7+'SAMPL5-CHX-ME'!O7))/(2.303*298.15*0.001987)</f>
        <v>2.01333926</v>
      </c>
      <c r="H33" s="29">
        <f>(D7+P7-('SAMPL5-CHX-ME'!D7+'SAMPL5-CHX-ME'!P7))/(2.303*298.15*0.001987)</f>
        <v>2.138224232</v>
      </c>
      <c r="I33" s="29">
        <f>(E7+Q7-('SAMPL5-CHX-ME'!E7+'SAMPL5-CHX-ME'!Q7))/(2.303*298.15*0.001987)</f>
        <v>1.968746764</v>
      </c>
      <c r="J33" s="29">
        <f>(F7+R7-('SAMPL5-CHX-ME'!F7+'SAMPL5-CHX-ME'!R7))/(2.303*298.15*0.001987)</f>
        <v>126.8683554</v>
      </c>
      <c r="K33" s="29">
        <f>(D7+S7-('SAMPL5-CHX-ME'!D7+'SAMPL5-CHX-ME'!S7))/(2.303*298.15*0.001987)</f>
        <v>2.08990758</v>
      </c>
      <c r="L33" s="29">
        <f>(E7+T7-('SAMPL5-CHX-ME'!E7+'SAMPL5-CHX-ME'!T7))/(2.303*298.15*0.001987)</f>
        <v>2.107805566</v>
      </c>
      <c r="M33" s="29">
        <f>(F7+U7-('SAMPL5-CHX-ME'!F7+'SAMPL5-CHX-ME'!U7))/(2.303*298.15*0.001987)</f>
        <v>2.056355413</v>
      </c>
      <c r="N33" s="32"/>
      <c r="O33" s="32"/>
      <c r="P33" s="32"/>
      <c r="Q33" s="32"/>
      <c r="R33" s="32"/>
      <c r="S33" s="23"/>
      <c r="T33" s="23"/>
      <c r="U33" s="23"/>
      <c r="V33" s="23"/>
      <c r="W33" s="23"/>
      <c r="X33" s="23"/>
      <c r="Y33" s="23"/>
      <c r="Z33" s="23"/>
    </row>
    <row r="34">
      <c r="A34" s="3" t="s">
        <v>71</v>
      </c>
      <c r="B34" s="29">
        <f>(D8+J8-('SAMPL5-CHX-ME'!D8+'SAMPL5-CHX-ME'!J8))/(2.303*298.15*0.001987)</f>
        <v>3.651792457</v>
      </c>
      <c r="C34" s="29">
        <f>(E8+K8-('SAMPL5-CHX-ME'!E8+'SAMPL5-CHX-ME'!K8))/(2.303*298.15*0.001987)</f>
        <v>4.12019346</v>
      </c>
      <c r="D34" s="29" t="str">
        <f>(F8+L8-('SAMPL5-CHX-ME'!F8+'SAMPL5-CHX-ME'!L8))/(2.303*298.15*0.001987)</f>
        <v>#VALUE!</v>
      </c>
      <c r="E34" s="29">
        <f>(D8+M8-('SAMPL5-CHX-ME'!D8+'SAMPL5-CHX-ME'!M8))/(2.303*298.15*0.001987)</f>
        <v>3.26866156</v>
      </c>
      <c r="F34" s="29">
        <f>(E8+N8-('SAMPL5-CHX-ME'!E8+'SAMPL5-CHX-ME'!N8))/(2.303*298.15*0.001987)</f>
        <v>3.540650679</v>
      </c>
      <c r="G34" s="29">
        <f>(F8+O8-('SAMPL5-CHX-ME'!F8+'SAMPL5-CHX-ME'!O8))/(2.303*298.15*0.001987)</f>
        <v>3.7087779</v>
      </c>
      <c r="H34" s="29">
        <f>(D8+P8-('SAMPL5-CHX-ME'!D8+'SAMPL5-CHX-ME'!P8))/(2.303*298.15*0.001987)</f>
        <v>4.088541999</v>
      </c>
      <c r="I34" s="29">
        <f>(E8+Q8-('SAMPL5-CHX-ME'!E8+'SAMPL5-CHX-ME'!Q8))/(2.303*298.15*0.001987)</f>
        <v>3.664905467</v>
      </c>
      <c r="J34" s="29">
        <f>(F8+R8-('SAMPL5-CHX-ME'!F8+'SAMPL5-CHX-ME'!R8))/(2.303*298.15*0.001987)</f>
        <v>200.379587</v>
      </c>
      <c r="K34" s="29">
        <f>(D8+S8-('SAMPL5-CHX-ME'!D8+'SAMPL5-CHX-ME'!S8))/(2.303*298.15*0.001987)</f>
        <v>3.887665358</v>
      </c>
      <c r="L34" s="29">
        <f>(E8+T8-('SAMPL5-CHX-ME'!E8+'SAMPL5-CHX-ME'!T8))/(2.303*298.15*0.001987)</f>
        <v>3.922520059</v>
      </c>
      <c r="M34" s="29">
        <f>(F8+U8-('SAMPL5-CHX-ME'!F8+'SAMPL5-CHX-ME'!U8))/(2.303*298.15*0.001987)</f>
        <v>4.000050158</v>
      </c>
      <c r="N34" s="32"/>
      <c r="O34" s="32"/>
      <c r="P34" s="32"/>
      <c r="Q34" s="32"/>
      <c r="R34" s="32"/>
      <c r="S34" s="23"/>
      <c r="T34" s="23"/>
      <c r="U34" s="23"/>
      <c r="V34" s="23"/>
      <c r="W34" s="23"/>
      <c r="X34" s="23"/>
      <c r="Y34" s="23"/>
      <c r="Z34" s="23"/>
    </row>
    <row r="35">
      <c r="A35" s="3" t="s">
        <v>73</v>
      </c>
      <c r="B35" s="29">
        <f>(D9+J9-('SAMPL5-CHX-ME'!D9+'SAMPL5-CHX-ME'!J9))/(2.303*298.15*0.001987)</f>
        <v>0.7174135476</v>
      </c>
      <c r="C35" s="29">
        <f>(E9+K9-('SAMPL5-CHX-ME'!E9+'SAMPL5-CHX-ME'!K9))/(2.303*298.15*0.001987)</f>
        <v>0.6416703591</v>
      </c>
      <c r="D35" s="29">
        <f>(F9+L9-('SAMPL5-CHX-ME'!F9+'SAMPL5-CHX-ME'!L9))/(2.303*298.15*0.001987)</f>
        <v>0.2189750982</v>
      </c>
      <c r="E35" s="29">
        <f>(D9+M9-('SAMPL5-CHX-ME'!D9+'SAMPL5-CHX-ME'!M9))/(2.303*298.15*0.001987)</f>
        <v>0.3029662797</v>
      </c>
      <c r="F35" s="29">
        <f>(E9+N9-('SAMPL5-CHX-ME'!E9+'SAMPL5-CHX-ME'!N9))/(2.303*298.15*0.001987)</f>
        <v>0.07058697083</v>
      </c>
      <c r="G35" s="29">
        <f>(F9+O9-('SAMPL5-CHX-ME'!F9+'SAMPL5-CHX-ME'!O9))/(2.303*298.15*0.001987)</f>
        <v>-0.149720486</v>
      </c>
      <c r="H35" s="29">
        <f>(D9+P9-('SAMPL5-CHX-ME'!D9+'SAMPL5-CHX-ME'!P9))/(2.303*298.15*0.001987)</f>
        <v>0.6676632795</v>
      </c>
      <c r="I35" s="29">
        <f>(E9+Q9-('SAMPL5-CHX-ME'!E9+'SAMPL5-CHX-ME'!Q9))/(2.303*298.15*0.001987)</f>
        <v>0.3340569982</v>
      </c>
      <c r="J35" s="29">
        <f>(F9+R9-('SAMPL5-CHX-ME'!F9+'SAMPL5-CHX-ME'!R9))/(2.303*298.15*0.001987)</f>
        <v>130.0941474</v>
      </c>
      <c r="K35" s="29">
        <f>(D9+S9-('SAMPL5-CHX-ME'!D9+'SAMPL5-CHX-ME'!S9))/(2.303*298.15*0.001987)</f>
        <v>1.523736928</v>
      </c>
      <c r="L35" s="29">
        <f>(E9+T9-('SAMPL5-CHX-ME'!E9+'SAMPL5-CHX-ME'!T9))/(2.303*298.15*0.001987)</f>
        <v>1.594104923</v>
      </c>
      <c r="M35" s="29">
        <f>(F9+U9-('SAMPL5-CHX-ME'!F9+'SAMPL5-CHX-ME'!U9))/(2.303*298.15*0.001987)</f>
        <v>1.541300225</v>
      </c>
      <c r="N35" s="32"/>
      <c r="O35" s="32"/>
      <c r="P35" s="32"/>
      <c r="Q35" s="32"/>
      <c r="R35" s="32"/>
      <c r="S35" s="23"/>
      <c r="T35" s="23"/>
      <c r="U35" s="23"/>
      <c r="V35" s="23"/>
      <c r="W35" s="23"/>
      <c r="X35" s="23"/>
      <c r="Y35" s="23"/>
      <c r="Z35" s="23"/>
    </row>
    <row r="36">
      <c r="A36" s="3" t="s">
        <v>74</v>
      </c>
      <c r="B36" s="29">
        <f>(D10+J10-('SAMPL5-CHX-ME'!D10+'SAMPL5-CHX-ME'!J10))/(2.303*298.15*0.001987)</f>
        <v>-10.8533926</v>
      </c>
      <c r="C36" s="29">
        <f>(E10+K10-('SAMPL5-CHX-ME'!E10+'SAMPL5-CHX-ME'!K10))/(2.303*298.15*0.001987)</f>
        <v>-10.65636887</v>
      </c>
      <c r="D36" s="29" t="str">
        <f>(F10+L10-('SAMPL5-CHX-ME'!F10+'SAMPL5-CHX-ME'!L10))/(2.303*298.15*0.001987)</f>
        <v>#VALUE!</v>
      </c>
      <c r="E36" s="29">
        <f>(D10+M10-('SAMPL5-CHX-ME'!D10+'SAMPL5-CHX-ME'!M10))/(2.303*298.15*0.001987)</f>
        <v>-10.91291998</v>
      </c>
      <c r="F36" s="29">
        <f>(E10+N10-('SAMPL5-CHX-ME'!E10+'SAMPL5-CHX-ME'!N10))/(2.303*298.15*0.001987)</f>
        <v>-10.42209526</v>
      </c>
      <c r="G36" s="29">
        <f>(F10+O10-('SAMPL5-CHX-ME'!F10+'SAMPL5-CHX-ME'!O10))/(2.303*298.15*0.001987)</f>
        <v>-10.90847861</v>
      </c>
      <c r="H36" s="29">
        <f>(D10+P10-('SAMPL5-CHX-ME'!D10+'SAMPL5-CHX-ME'!P10))/(2.303*298.15*0.001987)</f>
        <v>-9.787144992</v>
      </c>
      <c r="I36" s="29">
        <f>(E10+Q10-('SAMPL5-CHX-ME'!E10+'SAMPL5-CHX-ME'!Q10))/(2.303*298.15*0.001987)</f>
        <v>-9.73250195</v>
      </c>
      <c r="J36" s="29">
        <f>(F10+R10-('SAMPL5-CHX-ME'!F10+'SAMPL5-CHX-ME'!R10))/(2.303*298.15*0.001987)</f>
        <v>88.70917307</v>
      </c>
      <c r="K36" s="29">
        <f>(D10+S10-('SAMPL5-CHX-ME'!D10+'SAMPL5-CHX-ME'!S10))/(2.303*298.15*0.001987)</f>
        <v>-5.994660275</v>
      </c>
      <c r="L36" s="29">
        <f>(E10+T10-('SAMPL5-CHX-ME'!E10+'SAMPL5-CHX-ME'!T10))/(2.303*298.15*0.001987)</f>
        <v>-5.956509347</v>
      </c>
      <c r="M36" s="29">
        <f>(F10+U10-('SAMPL5-CHX-ME'!F10+'SAMPL5-CHX-ME'!U10))/(2.303*298.15*0.001987)</f>
        <v>-5.901157071</v>
      </c>
      <c r="N36" s="32"/>
      <c r="O36" s="32"/>
      <c r="P36" s="32"/>
      <c r="Q36" s="32"/>
      <c r="R36" s="32"/>
      <c r="S36" s="23"/>
      <c r="T36" s="23"/>
      <c r="U36" s="23"/>
      <c r="V36" s="23"/>
      <c r="W36" s="23"/>
      <c r="X36" s="23"/>
      <c r="Y36" s="23"/>
      <c r="Z36" s="23"/>
    </row>
    <row r="37">
      <c r="A37" s="3" t="s">
        <v>75</v>
      </c>
      <c r="B37" s="29">
        <f>(D11+J11-('SAMPL5-CHX-ME'!D11+'SAMPL5-CHX-ME'!J11))/(2.303*298.15*0.001987)</f>
        <v>-2.963107142</v>
      </c>
      <c r="C37" s="29">
        <f>(E11+K11-('SAMPL5-CHX-ME'!E11+'SAMPL5-CHX-ME'!K11))/(2.303*298.15*0.001987)</f>
        <v>-3.021903086</v>
      </c>
      <c r="D37" s="29" t="str">
        <f>(F11+L11-('SAMPL5-CHX-ME'!F11+'SAMPL5-CHX-ME'!L11))/(2.303*298.15*0.001987)</f>
        <v>#VALUE!</v>
      </c>
      <c r="E37" s="29">
        <f>(D11+M11-('SAMPL5-CHX-ME'!D11+'SAMPL5-CHX-ME'!M11))/(2.303*298.15*0.001987)</f>
        <v>-3.048268735</v>
      </c>
      <c r="F37" s="29">
        <f>(E11+N11-('SAMPL5-CHX-ME'!E11+'SAMPL5-CHX-ME'!N11))/(2.303*298.15*0.001987)</f>
        <v>-3.061267465</v>
      </c>
      <c r="G37" s="29">
        <f>(F11+O11-('SAMPL5-CHX-ME'!F11+'SAMPL5-CHX-ME'!O11))/(2.303*298.15*0.001987)</f>
        <v>-3.007806219</v>
      </c>
      <c r="H37" s="29">
        <f>(D11+P11-('SAMPL5-CHX-ME'!D11+'SAMPL5-CHX-ME'!P11))/(2.303*298.15*0.001987)</f>
        <v>-2.788164302</v>
      </c>
      <c r="I37" s="29" t="str">
        <f>(E11+Q11-('SAMPL5-CHX-ME'!E11+'SAMPL5-CHX-ME'!Q11))/(2.303*298.15*0.001987)</f>
        <v>#VALUE!</v>
      </c>
      <c r="J37" s="29">
        <f>(F11+R11-('SAMPL5-CHX-ME'!F11+'SAMPL5-CHX-ME'!R11))/(2.303*298.15*0.001987)</f>
        <v>44.09967512</v>
      </c>
      <c r="K37" s="29">
        <f>(D11+S11-('SAMPL5-CHX-ME'!D11+'SAMPL5-CHX-ME'!S11))/(2.303*298.15*0.001987)</f>
        <v>-3.405683794</v>
      </c>
      <c r="L37" s="29">
        <f>(E11+T11-('SAMPL5-CHX-ME'!E11+'SAMPL5-CHX-ME'!T11))/(2.303*298.15*0.001987)</f>
        <v>-3.379197431</v>
      </c>
      <c r="M37" s="29">
        <f>(F11+U11-('SAMPL5-CHX-ME'!F11+'SAMPL5-CHX-ME'!U11))/(2.303*298.15*0.001987)</f>
        <v>-3.474901824</v>
      </c>
      <c r="N37" s="32"/>
      <c r="O37" s="32"/>
      <c r="P37" s="32"/>
      <c r="Q37" s="32"/>
      <c r="R37" s="32"/>
      <c r="S37" s="23"/>
      <c r="T37" s="23"/>
      <c r="U37" s="23"/>
      <c r="V37" s="23"/>
      <c r="W37" s="23"/>
      <c r="X37" s="23"/>
      <c r="Y37" s="23"/>
      <c r="Z37" s="23"/>
    </row>
    <row r="38">
      <c r="A38" s="5" t="s">
        <v>76</v>
      </c>
      <c r="B38" s="29">
        <f>(D12+J12-('SAMPL5-CHX-ME'!D12+'SAMPL5-CHX-ME'!J12))/(2.303*298.15*0.001987)</f>
        <v>2.969794258</v>
      </c>
      <c r="C38" s="29">
        <f>(E12+K12-('SAMPL5-CHX-ME'!E12+'SAMPL5-CHX-ME'!K12))/(2.303*298.15*0.001987)</f>
        <v>2.879324227</v>
      </c>
      <c r="D38" s="29" t="str">
        <f>(F12+L12-('SAMPL5-CHX-ME'!F12+'SAMPL5-CHX-ME'!L12))/(2.303*298.15*0.001987)</f>
        <v>#VALUE!</v>
      </c>
      <c r="E38" s="29">
        <f>(D12+M12-('SAMPL5-CHX-ME'!D12+'SAMPL5-CHX-ME'!M12))/(2.303*298.15*0.001987)</f>
        <v>3.175281277</v>
      </c>
      <c r="F38" s="29">
        <f>(E12+N12-('SAMPL5-CHX-ME'!E12+'SAMPL5-CHX-ME'!N12))/(2.303*298.15*0.001987)</f>
        <v>3.302030979</v>
      </c>
      <c r="G38" s="29">
        <f>(F12+O12-('SAMPL5-CHX-ME'!F12+'SAMPL5-CHX-ME'!O12))/(2.303*298.15*0.001987)</f>
        <v>3.288306397</v>
      </c>
      <c r="H38" s="29">
        <f>(D12+P12-('SAMPL5-CHX-ME'!D12+'SAMPL5-CHX-ME'!P12))/(2.303*298.15*0.001987)</f>
        <v>2.816254978</v>
      </c>
      <c r="I38" s="29" t="str">
        <f>(E12+Q12-('SAMPL5-CHX-ME'!E12+'SAMPL5-CHX-ME'!Q12))/(2.303*298.15*0.001987)</f>
        <v>#VALUE!</v>
      </c>
      <c r="J38" s="29">
        <f>(F12+R12-('SAMPL5-CHX-ME'!F12+'SAMPL5-CHX-ME'!R12))/(2.303*298.15*0.001987)</f>
        <v>211.3101579</v>
      </c>
      <c r="K38" s="29">
        <f>(D12+S12-('SAMPL5-CHX-ME'!D12+'SAMPL5-CHX-ME'!S12))/(2.303*298.15*0.001987)</f>
        <v>4.557838412</v>
      </c>
      <c r="L38" s="29">
        <f>(E12+T12-('SAMPL5-CHX-ME'!E12+'SAMPL5-CHX-ME'!T12))/(2.303*298.15*0.001987)</f>
        <v>4.642201468</v>
      </c>
      <c r="M38" s="29">
        <f>(F12+U12-('SAMPL5-CHX-ME'!F12+'SAMPL5-CHX-ME'!U12))/(2.303*298.15*0.001987)</f>
        <v>4.559588038</v>
      </c>
      <c r="N38" s="32"/>
      <c r="O38" s="32"/>
      <c r="P38" s="32"/>
      <c r="Q38" s="32"/>
      <c r="R38" s="32"/>
      <c r="S38" s="23"/>
      <c r="T38" s="23"/>
      <c r="U38" s="23"/>
      <c r="V38" s="23"/>
      <c r="W38" s="23"/>
      <c r="X38" s="23"/>
      <c r="Y38" s="23"/>
      <c r="Z38" s="23"/>
    </row>
    <row r="39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35"/>
      <c r="N39" s="32"/>
      <c r="O39" s="32"/>
      <c r="P39" s="32"/>
      <c r="Q39" s="32"/>
      <c r="R39" s="32"/>
      <c r="S39" s="23"/>
      <c r="T39" s="23"/>
      <c r="U39" s="23"/>
      <c r="V39" s="23"/>
      <c r="W39" s="23"/>
      <c r="X39" s="23"/>
      <c r="Y39" s="23"/>
      <c r="Z39" s="23"/>
    </row>
    <row r="40">
      <c r="A40" s="3" t="s">
        <v>66</v>
      </c>
      <c r="B40" s="29">
        <f t="shared" ref="B40:M40" si="11">ABS(B29-$L17)</f>
        <v>1.073947659</v>
      </c>
      <c r="C40" s="29">
        <f t="shared" si="11"/>
        <v>0.01252345872</v>
      </c>
      <c r="D40" s="29">
        <f t="shared" si="11"/>
        <v>0.07660382585</v>
      </c>
      <c r="E40" s="29">
        <f t="shared" si="11"/>
        <v>0.5569454224</v>
      </c>
      <c r="F40" s="29" t="str">
        <f t="shared" si="11"/>
        <v>#VALUE!</v>
      </c>
      <c r="G40" s="29">
        <f t="shared" si="11"/>
        <v>0.208243357</v>
      </c>
      <c r="H40" s="29">
        <f t="shared" si="11"/>
        <v>0.4489950254</v>
      </c>
      <c r="I40" s="29">
        <f t="shared" si="11"/>
        <v>0.5187751866</v>
      </c>
      <c r="J40" s="29">
        <f t="shared" si="11"/>
        <v>66.62493441</v>
      </c>
      <c r="K40" s="29">
        <f t="shared" si="11"/>
        <v>1.230363707</v>
      </c>
      <c r="L40" s="29">
        <f t="shared" si="11"/>
        <v>1.318898271</v>
      </c>
      <c r="M40" s="29">
        <f t="shared" si="11"/>
        <v>1.168924934</v>
      </c>
      <c r="N40" s="32"/>
      <c r="O40" s="32"/>
      <c r="P40" s="32"/>
      <c r="Q40" s="32"/>
      <c r="R40" s="32"/>
      <c r="S40" s="23"/>
      <c r="T40" s="23"/>
      <c r="U40" s="23"/>
      <c r="V40" s="23"/>
      <c r="W40" s="23"/>
      <c r="X40" s="23"/>
      <c r="Y40" s="23"/>
      <c r="Z40" s="23"/>
    </row>
    <row r="41">
      <c r="A41" s="3" t="s">
        <v>67</v>
      </c>
      <c r="B41" s="29">
        <f t="shared" ref="B41:M41" si="12">ABS(B30-$L18)</f>
        <v>3.958461572</v>
      </c>
      <c r="C41" s="29">
        <f t="shared" si="12"/>
        <v>2.632538171</v>
      </c>
      <c r="D41" s="29">
        <f t="shared" si="12"/>
        <v>5.417027097</v>
      </c>
      <c r="E41" s="29">
        <f t="shared" si="12"/>
        <v>3.502235108</v>
      </c>
      <c r="F41" s="29">
        <f t="shared" si="12"/>
        <v>3.276344924</v>
      </c>
      <c r="G41" s="29">
        <f t="shared" si="12"/>
        <v>6.046209506</v>
      </c>
      <c r="H41" s="29">
        <f t="shared" si="12"/>
        <v>3.675785352</v>
      </c>
      <c r="I41" s="29">
        <f t="shared" si="12"/>
        <v>2.691638582</v>
      </c>
      <c r="J41" s="29">
        <f t="shared" si="12"/>
        <v>67.13255145</v>
      </c>
      <c r="K41" s="29">
        <f t="shared" si="12"/>
        <v>2.238288625</v>
      </c>
      <c r="L41" s="29">
        <f t="shared" si="12"/>
        <v>1.760899558</v>
      </c>
      <c r="M41" s="29">
        <f t="shared" si="12"/>
        <v>4.177039316</v>
      </c>
      <c r="N41" s="32"/>
      <c r="O41" s="32"/>
      <c r="P41" s="32"/>
      <c r="Q41" s="32"/>
      <c r="R41" s="32"/>
      <c r="S41" s="23"/>
      <c r="T41" s="23"/>
      <c r="U41" s="23"/>
      <c r="V41" s="23"/>
      <c r="W41" s="23"/>
      <c r="X41" s="23"/>
      <c r="Y41" s="23"/>
      <c r="Z41" s="23"/>
    </row>
    <row r="42">
      <c r="A42" s="3" t="s">
        <v>68</v>
      </c>
      <c r="B42" s="29">
        <f t="shared" ref="B42:M42" si="13">ABS(B31-$L19)</f>
        <v>2.102186478</v>
      </c>
      <c r="C42" s="29">
        <f t="shared" si="13"/>
        <v>1.76309189</v>
      </c>
      <c r="D42" s="29">
        <f t="shared" si="13"/>
        <v>2.000984898</v>
      </c>
      <c r="E42" s="29">
        <f t="shared" si="13"/>
        <v>1.970459471</v>
      </c>
      <c r="F42" s="29">
        <f t="shared" si="13"/>
        <v>1.915324941</v>
      </c>
      <c r="G42" s="29">
        <f t="shared" si="13"/>
        <v>2.054926173</v>
      </c>
      <c r="H42" s="29">
        <f t="shared" si="13"/>
        <v>2.27603389</v>
      </c>
      <c r="I42" s="29">
        <f t="shared" si="13"/>
        <v>2.104935632</v>
      </c>
      <c r="J42" s="29">
        <f t="shared" si="13"/>
        <v>84.3405861</v>
      </c>
      <c r="K42" s="29">
        <f t="shared" si="13"/>
        <v>1.866552902</v>
      </c>
      <c r="L42" s="29">
        <f t="shared" si="13"/>
        <v>1.807501483</v>
      </c>
      <c r="M42" s="29">
        <f t="shared" si="13"/>
        <v>1.90517236</v>
      </c>
      <c r="N42" s="32"/>
      <c r="O42" s="32"/>
      <c r="P42" s="32"/>
      <c r="Q42" s="32"/>
      <c r="R42" s="32"/>
      <c r="S42" s="23"/>
      <c r="T42" s="23"/>
      <c r="U42" s="23"/>
      <c r="V42" s="23"/>
      <c r="W42" s="23"/>
      <c r="X42" s="23"/>
      <c r="Y42" s="23"/>
      <c r="Z42" s="23"/>
    </row>
    <row r="43">
      <c r="A43" s="3" t="s">
        <v>69</v>
      </c>
      <c r="B43" s="29">
        <f t="shared" ref="B43:M43" si="14">ABS(B32-$L20)</f>
        <v>2.758086413</v>
      </c>
      <c r="C43" s="29">
        <f t="shared" si="14"/>
        <v>2.618060052</v>
      </c>
      <c r="D43" s="29">
        <f t="shared" si="14"/>
        <v>2.768578772</v>
      </c>
      <c r="E43" s="29">
        <f t="shared" si="14"/>
        <v>2.611484673</v>
      </c>
      <c r="F43" s="29">
        <f t="shared" si="14"/>
        <v>2.675364026</v>
      </c>
      <c r="G43" s="29">
        <f t="shared" si="14"/>
        <v>2.391033299</v>
      </c>
      <c r="H43" s="29">
        <f t="shared" si="14"/>
        <v>2.810724914</v>
      </c>
      <c r="I43" s="29">
        <f t="shared" si="14"/>
        <v>2.478326459</v>
      </c>
      <c r="J43" s="29">
        <f t="shared" si="14"/>
        <v>3.42548602</v>
      </c>
      <c r="K43" s="29">
        <f t="shared" si="14"/>
        <v>2.612211335</v>
      </c>
      <c r="L43" s="29">
        <f t="shared" si="14"/>
        <v>2.604264398</v>
      </c>
      <c r="M43" s="29">
        <f t="shared" si="14"/>
        <v>2.550330241</v>
      </c>
      <c r="N43" s="32"/>
      <c r="O43" s="32"/>
      <c r="P43" s="32"/>
      <c r="Q43" s="32"/>
      <c r="R43" s="32"/>
      <c r="S43" s="23"/>
      <c r="T43" s="23"/>
      <c r="U43" s="23"/>
      <c r="V43" s="23"/>
      <c r="W43" s="23"/>
      <c r="X43" s="23"/>
      <c r="Y43" s="23"/>
      <c r="Z43" s="23"/>
    </row>
    <row r="44">
      <c r="A44" s="3" t="s">
        <v>70</v>
      </c>
      <c r="B44" s="29">
        <f t="shared" ref="B44:M44" si="15">ABS(B33-$L21)</f>
        <v>1.060425009</v>
      </c>
      <c r="C44" s="29">
        <f t="shared" si="15"/>
        <v>1.16400834</v>
      </c>
      <c r="D44" s="29">
        <f t="shared" si="15"/>
        <v>1.147560985</v>
      </c>
      <c r="E44" s="29">
        <f t="shared" si="15"/>
        <v>1.288682273</v>
      </c>
      <c r="F44" s="29">
        <f t="shared" si="15"/>
        <v>1.207759453</v>
      </c>
      <c r="G44" s="29">
        <f t="shared" si="15"/>
        <v>1.21333926</v>
      </c>
      <c r="H44" s="29">
        <f t="shared" si="15"/>
        <v>1.338224232</v>
      </c>
      <c r="I44" s="29">
        <f t="shared" si="15"/>
        <v>1.168746764</v>
      </c>
      <c r="J44" s="29">
        <f t="shared" si="15"/>
        <v>126.0683554</v>
      </c>
      <c r="K44" s="29">
        <f t="shared" si="15"/>
        <v>1.28990758</v>
      </c>
      <c r="L44" s="29">
        <f t="shared" si="15"/>
        <v>1.307805566</v>
      </c>
      <c r="M44" s="29">
        <f t="shared" si="15"/>
        <v>1.256355413</v>
      </c>
      <c r="N44" s="32"/>
      <c r="O44" s="32"/>
      <c r="P44" s="32"/>
      <c r="Q44" s="32"/>
      <c r="R44" s="32"/>
      <c r="S44" s="23"/>
      <c r="T44" s="23"/>
      <c r="U44" s="23"/>
      <c r="V44" s="23"/>
      <c r="W44" s="23"/>
      <c r="X44" s="23"/>
      <c r="Y44" s="23"/>
      <c r="Z44" s="23"/>
    </row>
    <row r="45">
      <c r="A45" s="3" t="s">
        <v>71</v>
      </c>
      <c r="B45" s="29">
        <f t="shared" ref="B45:M45" si="16">ABS(B34-$L22)</f>
        <v>2.251792457</v>
      </c>
      <c r="C45" s="29">
        <f t="shared" si="16"/>
        <v>2.72019346</v>
      </c>
      <c r="D45" s="29" t="str">
        <f t="shared" si="16"/>
        <v>#VALUE!</v>
      </c>
      <c r="E45" s="29">
        <f t="shared" si="16"/>
        <v>1.86866156</v>
      </c>
      <c r="F45" s="29">
        <f t="shared" si="16"/>
        <v>2.140650679</v>
      </c>
      <c r="G45" s="29">
        <f t="shared" si="16"/>
        <v>2.3087779</v>
      </c>
      <c r="H45" s="29">
        <f t="shared" si="16"/>
        <v>2.688541999</v>
      </c>
      <c r="I45" s="29">
        <f t="shared" si="16"/>
        <v>2.264905467</v>
      </c>
      <c r="J45" s="29">
        <f t="shared" si="16"/>
        <v>198.979587</v>
      </c>
      <c r="K45" s="29">
        <f t="shared" si="16"/>
        <v>2.487665358</v>
      </c>
      <c r="L45" s="29">
        <f t="shared" si="16"/>
        <v>2.522520059</v>
      </c>
      <c r="M45" s="29">
        <f t="shared" si="16"/>
        <v>2.600050158</v>
      </c>
      <c r="N45" s="32"/>
      <c r="O45" s="32"/>
      <c r="P45" s="32"/>
      <c r="Q45" s="32"/>
      <c r="R45" s="32"/>
      <c r="S45" s="23"/>
      <c r="T45" s="23"/>
      <c r="U45" s="23"/>
      <c r="V45" s="23"/>
      <c r="W45" s="23"/>
      <c r="X45" s="23"/>
      <c r="Y45" s="23"/>
      <c r="Z45" s="23"/>
    </row>
    <row r="46">
      <c r="A46" s="3" t="s">
        <v>73</v>
      </c>
      <c r="B46" s="29">
        <f t="shared" ref="B46:M46" si="17">ABS(B35-$L23)</f>
        <v>0.7174135476</v>
      </c>
      <c r="C46" s="29">
        <f t="shared" si="17"/>
        <v>0.6416703591</v>
      </c>
      <c r="D46" s="29">
        <f t="shared" si="17"/>
        <v>0.2189750982</v>
      </c>
      <c r="E46" s="29">
        <f t="shared" si="17"/>
        <v>0.3029662797</v>
      </c>
      <c r="F46" s="29">
        <f t="shared" si="17"/>
        <v>0.07058697083</v>
      </c>
      <c r="G46" s="29">
        <f t="shared" si="17"/>
        <v>0.149720486</v>
      </c>
      <c r="H46" s="29">
        <f t="shared" si="17"/>
        <v>0.6676632795</v>
      </c>
      <c r="I46" s="29">
        <f t="shared" si="17"/>
        <v>0.3340569982</v>
      </c>
      <c r="J46" s="29">
        <f t="shared" si="17"/>
        <v>130.0941474</v>
      </c>
      <c r="K46" s="29">
        <f t="shared" si="17"/>
        <v>1.523736928</v>
      </c>
      <c r="L46" s="29">
        <f t="shared" si="17"/>
        <v>1.594104923</v>
      </c>
      <c r="M46" s="29">
        <f t="shared" si="17"/>
        <v>1.541300225</v>
      </c>
      <c r="N46" s="32"/>
      <c r="O46" s="32"/>
      <c r="P46" s="32"/>
      <c r="Q46" s="32"/>
      <c r="R46" s="32"/>
      <c r="S46" s="23"/>
      <c r="T46" s="23"/>
      <c r="U46" s="23"/>
      <c r="V46" s="23"/>
      <c r="W46" s="23"/>
      <c r="X46" s="23"/>
      <c r="Y46" s="23"/>
      <c r="Z46" s="23"/>
    </row>
    <row r="47">
      <c r="A47" s="3" t="s">
        <v>74</v>
      </c>
      <c r="B47" s="29">
        <f t="shared" ref="B47:M47" si="18">ABS(B36-$L24)</f>
        <v>8.953392604</v>
      </c>
      <c r="C47" s="29">
        <f t="shared" si="18"/>
        <v>8.756368865</v>
      </c>
      <c r="D47" s="29" t="str">
        <f t="shared" si="18"/>
        <v>#VALUE!</v>
      </c>
      <c r="E47" s="29">
        <f t="shared" si="18"/>
        <v>9.012919977</v>
      </c>
      <c r="F47" s="29">
        <f t="shared" si="18"/>
        <v>8.522095259</v>
      </c>
      <c r="G47" s="29">
        <f t="shared" si="18"/>
        <v>9.008478605</v>
      </c>
      <c r="H47" s="29">
        <f t="shared" si="18"/>
        <v>7.887144992</v>
      </c>
      <c r="I47" s="29">
        <f t="shared" si="18"/>
        <v>7.83250195</v>
      </c>
      <c r="J47" s="29">
        <f t="shared" si="18"/>
        <v>90.60917307</v>
      </c>
      <c r="K47" s="29">
        <f t="shared" si="18"/>
        <v>4.094660275</v>
      </c>
      <c r="L47" s="29">
        <f t="shared" si="18"/>
        <v>4.056509347</v>
      </c>
      <c r="M47" s="29">
        <f t="shared" si="18"/>
        <v>4.001157071</v>
      </c>
      <c r="N47" s="32"/>
      <c r="O47" s="32"/>
      <c r="P47" s="32"/>
      <c r="Q47" s="32"/>
      <c r="R47" s="32"/>
      <c r="S47" s="23"/>
      <c r="T47" s="23"/>
      <c r="U47" s="23"/>
      <c r="V47" s="23"/>
      <c r="W47" s="23"/>
      <c r="X47" s="23"/>
      <c r="Y47" s="23"/>
      <c r="Z47" s="23"/>
    </row>
    <row r="48">
      <c r="A48" s="3" t="s">
        <v>75</v>
      </c>
      <c r="B48" s="29">
        <f t="shared" ref="B48:M48" si="19">ABS(B37-$L25)</f>
        <v>0.7631071421</v>
      </c>
      <c r="C48" s="29">
        <f t="shared" si="19"/>
        <v>0.8219030862</v>
      </c>
      <c r="D48" s="29" t="str">
        <f t="shared" si="19"/>
        <v>#VALUE!</v>
      </c>
      <c r="E48" s="29">
        <f t="shared" si="19"/>
        <v>0.8482687354</v>
      </c>
      <c r="F48" s="29">
        <f t="shared" si="19"/>
        <v>0.8612674646</v>
      </c>
      <c r="G48" s="29">
        <f t="shared" si="19"/>
        <v>0.8078062189</v>
      </c>
      <c r="H48" s="29">
        <f t="shared" si="19"/>
        <v>0.5881643022</v>
      </c>
      <c r="I48" s="29" t="str">
        <f t="shared" si="19"/>
        <v>#VALUE!</v>
      </c>
      <c r="J48" s="29">
        <f t="shared" si="19"/>
        <v>46.29967512</v>
      </c>
      <c r="K48" s="29">
        <f t="shared" si="19"/>
        <v>1.205683794</v>
      </c>
      <c r="L48" s="29">
        <f t="shared" si="19"/>
        <v>1.179197431</v>
      </c>
      <c r="M48" s="29">
        <f t="shared" si="19"/>
        <v>1.274901824</v>
      </c>
      <c r="N48" s="32"/>
      <c r="O48" s="32"/>
      <c r="P48" s="32"/>
      <c r="Q48" s="32"/>
      <c r="R48" s="32"/>
      <c r="S48" s="23"/>
      <c r="T48" s="23"/>
      <c r="U48" s="23"/>
      <c r="V48" s="23"/>
      <c r="W48" s="23"/>
      <c r="X48" s="23"/>
      <c r="Y48" s="23"/>
      <c r="Z48" s="23"/>
    </row>
    <row r="49">
      <c r="A49" s="5" t="s">
        <v>76</v>
      </c>
      <c r="B49" s="29">
        <f t="shared" ref="B49:M49" si="20">ABS(B38-$L26)</f>
        <v>2.269794258</v>
      </c>
      <c r="C49" s="29">
        <f t="shared" si="20"/>
        <v>2.179324227</v>
      </c>
      <c r="D49" s="29" t="str">
        <f t="shared" si="20"/>
        <v>#VALUE!</v>
      </c>
      <c r="E49" s="29">
        <f t="shared" si="20"/>
        <v>2.475281277</v>
      </c>
      <c r="F49" s="29">
        <f t="shared" si="20"/>
        <v>2.602030979</v>
      </c>
      <c r="G49" s="29">
        <f t="shared" si="20"/>
        <v>2.588306397</v>
      </c>
      <c r="H49" s="29">
        <f t="shared" si="20"/>
        <v>2.116254978</v>
      </c>
      <c r="I49" s="29" t="str">
        <f t="shared" si="20"/>
        <v>#VALUE!</v>
      </c>
      <c r="J49" s="29">
        <f t="shared" si="20"/>
        <v>210.6101579</v>
      </c>
      <c r="K49" s="29">
        <f t="shared" si="20"/>
        <v>3.857838412</v>
      </c>
      <c r="L49" s="29">
        <f t="shared" si="20"/>
        <v>3.942201468</v>
      </c>
      <c r="M49" s="29">
        <f t="shared" si="20"/>
        <v>3.859588038</v>
      </c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23"/>
      <c r="B51" s="23">
        <f t="shared" ref="B51:M51" si="21">AVERAGE(IFERROR(B40:B49,""))</f>
        <v>2.590860714</v>
      </c>
      <c r="C51" s="23">
        <f t="shared" si="21"/>
        <v>2.330968191</v>
      </c>
      <c r="D51" s="23">
        <f t="shared" si="21"/>
        <v>1.938288446</v>
      </c>
      <c r="E51" s="23">
        <f t="shared" si="21"/>
        <v>2.443790478</v>
      </c>
      <c r="F51" s="23">
        <f t="shared" si="21"/>
        <v>2.585713855</v>
      </c>
      <c r="G51" s="23">
        <f t="shared" si="21"/>
        <v>2.67768412</v>
      </c>
      <c r="H51" s="23">
        <f t="shared" si="21"/>
        <v>2.449753297</v>
      </c>
      <c r="I51" s="23">
        <f t="shared" si="21"/>
        <v>2.42423588</v>
      </c>
      <c r="J51" s="23">
        <f t="shared" si="21"/>
        <v>102.4184654</v>
      </c>
      <c r="K51" s="23">
        <f t="shared" si="21"/>
        <v>2.240690892</v>
      </c>
      <c r="L51" s="23">
        <f t="shared" si="21"/>
        <v>2.20939025</v>
      </c>
      <c r="M51" s="23">
        <f t="shared" si="21"/>
        <v>2.433481958</v>
      </c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23"/>
      <c r="B54" s="23"/>
      <c r="C54" s="23"/>
      <c r="D54" s="23"/>
      <c r="E54" s="23"/>
      <c r="F54" s="23"/>
      <c r="G54" s="23"/>
      <c r="H54" s="29"/>
      <c r="I54" s="29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3"/>
      <c r="B55" s="29">
        <f t="shared" ref="B55:D55" si="22">ABS(H17-L17)</f>
        <v>4.030363707</v>
      </c>
      <c r="C55" s="29">
        <f t="shared" si="22"/>
        <v>3.418898271</v>
      </c>
      <c r="D55" s="29">
        <f t="shared" si="22"/>
        <v>2.568924934</v>
      </c>
      <c r="E55" s="23"/>
      <c r="F55" s="23"/>
      <c r="G55" s="23"/>
      <c r="H55" s="29"/>
      <c r="I55" s="29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23"/>
      <c r="B56" s="29">
        <f t="shared" ref="B56:D56" si="23">ABS(H18-L18)</f>
        <v>1.161711375</v>
      </c>
      <c r="C56" s="29">
        <f t="shared" si="23"/>
        <v>0.2391004422</v>
      </c>
      <c r="D56" s="29">
        <f t="shared" si="23"/>
        <v>2.477039316</v>
      </c>
      <c r="E56" s="23"/>
      <c r="F56" s="23"/>
      <c r="G56" s="23"/>
      <c r="H56" s="29"/>
      <c r="I56" s="29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23"/>
      <c r="B57" s="29">
        <f t="shared" ref="B57:D57" si="24">ABS(H19-L19)</f>
        <v>4.266552902</v>
      </c>
      <c r="C57" s="29">
        <f t="shared" si="24"/>
        <v>3.307501483</v>
      </c>
      <c r="D57" s="29">
        <f t="shared" si="24"/>
        <v>3.10517236</v>
      </c>
      <c r="E57" s="23"/>
      <c r="F57" s="23"/>
      <c r="G57" s="23"/>
      <c r="H57" s="29"/>
      <c r="I57" s="29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23"/>
      <c r="B58" s="29">
        <f t="shared" ref="B58:D58" si="25">ABS(H20-L20)</f>
        <v>3.012211335</v>
      </c>
      <c r="C58" s="29">
        <f t="shared" si="25"/>
        <v>3.104264398</v>
      </c>
      <c r="D58" s="29">
        <f t="shared" si="25"/>
        <v>2.750330241</v>
      </c>
      <c r="E58" s="23"/>
      <c r="F58" s="23"/>
      <c r="G58" s="23"/>
      <c r="H58" s="29"/>
      <c r="I58" s="29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23"/>
      <c r="B59" s="29">
        <f t="shared" ref="B59:D59" si="26">ABS(H21-L21)</f>
        <v>2.88990758</v>
      </c>
      <c r="C59" s="29">
        <f t="shared" si="26"/>
        <v>2.707805566</v>
      </c>
      <c r="D59" s="29">
        <f t="shared" si="26"/>
        <v>2.056355413</v>
      </c>
      <c r="E59" s="23"/>
      <c r="F59" s="23"/>
      <c r="G59" s="23"/>
      <c r="H59" s="29"/>
      <c r="I59" s="29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23"/>
      <c r="B60" s="29">
        <f t="shared" ref="B60:D60" si="27">ABS(H22-L22)</f>
        <v>5.287665358</v>
      </c>
      <c r="C60" s="29">
        <f t="shared" si="27"/>
        <v>4.222520059</v>
      </c>
      <c r="D60" s="29">
        <f t="shared" si="27"/>
        <v>4.000050158</v>
      </c>
      <c r="E60" s="23"/>
      <c r="F60" s="23"/>
      <c r="G60" s="23"/>
      <c r="H60" s="29"/>
      <c r="I60" s="29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23"/>
      <c r="B61" s="29">
        <f t="shared" ref="B61:D61" si="28">ABS(H23-L23)</f>
        <v>1.523736928</v>
      </c>
      <c r="C61" s="29">
        <f t="shared" si="28"/>
        <v>1.994104923</v>
      </c>
      <c r="D61" s="29">
        <f t="shared" si="28"/>
        <v>1.541300225</v>
      </c>
      <c r="E61" s="23"/>
      <c r="F61" s="23"/>
      <c r="G61" s="23"/>
      <c r="H61" s="29"/>
      <c r="I61" s="29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23"/>
      <c r="B62" s="29">
        <f t="shared" ref="B62:D62" si="29">ABS(H24-L24)</f>
        <v>7.894660275</v>
      </c>
      <c r="C62" s="29">
        <f t="shared" si="29"/>
        <v>5.656509347</v>
      </c>
      <c r="D62" s="29">
        <f t="shared" si="29"/>
        <v>5.901157071</v>
      </c>
      <c r="E62" s="23"/>
      <c r="F62" s="23"/>
      <c r="G62" s="23"/>
      <c r="H62" s="29"/>
      <c r="I62" s="29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23"/>
      <c r="B63" s="29">
        <f t="shared" ref="B63:D63" si="30">ABS(H25-L25)</f>
        <v>5.605683794</v>
      </c>
      <c r="C63" s="29">
        <f t="shared" si="30"/>
        <v>3.079197431</v>
      </c>
      <c r="D63" s="29">
        <f t="shared" si="30"/>
        <v>3.474901824</v>
      </c>
      <c r="E63" s="23"/>
      <c r="F63" s="23"/>
      <c r="G63" s="23"/>
      <c r="H63" s="29"/>
      <c r="I63" s="29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23"/>
      <c r="B64" s="29">
        <f t="shared" ref="B64:D64" si="31">ABS(H26-L26)</f>
        <v>5.257838412</v>
      </c>
      <c r="C64" s="29">
        <f t="shared" si="31"/>
        <v>4.842201468</v>
      </c>
      <c r="D64" s="29">
        <f t="shared" si="31"/>
        <v>4.559588038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23"/>
      <c r="B65" s="29"/>
      <c r="C65" s="29"/>
      <c r="D65" s="29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23"/>
      <c r="B66" s="29">
        <f t="shared" ref="B66:D66" si="32">AVERAGE(IFERROR(B55:B64,""))</f>
        <v>4.093033167</v>
      </c>
      <c r="C66" s="29">
        <f t="shared" si="32"/>
        <v>3.257210339</v>
      </c>
      <c r="D66" s="29">
        <f t="shared" si="32"/>
        <v>3.243481958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23"/>
      <c r="B71" s="23"/>
      <c r="C71" s="33"/>
      <c r="D71" s="33"/>
      <c r="E71" s="3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23"/>
      <c r="B72" s="23"/>
      <c r="C72" s="24"/>
      <c r="D72" s="24"/>
      <c r="E72" s="24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23"/>
      <c r="B73" s="23"/>
      <c r="C73" s="24"/>
      <c r="D73" s="24"/>
      <c r="E73" s="24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23"/>
      <c r="B74" s="23"/>
      <c r="C74" s="24"/>
      <c r="D74" s="24"/>
      <c r="E74" s="24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23"/>
      <c r="B75" s="23"/>
      <c r="C75" s="24"/>
      <c r="D75" s="24"/>
      <c r="E75" s="24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23"/>
      <c r="B76" s="23"/>
      <c r="C76" s="24"/>
      <c r="D76" s="24"/>
      <c r="E76" s="24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23"/>
      <c r="B77" s="23"/>
      <c r="C77" s="24"/>
      <c r="D77" s="24"/>
      <c r="E77" s="24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23"/>
      <c r="B78" s="23"/>
      <c r="C78" s="24"/>
      <c r="D78" s="24"/>
      <c r="E78" s="24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23"/>
      <c r="B79" s="23"/>
      <c r="C79" s="24"/>
      <c r="D79" s="24"/>
      <c r="E79" s="24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23"/>
      <c r="B80" s="23"/>
      <c r="C80" s="24"/>
      <c r="D80" s="24"/>
      <c r="E80" s="24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23"/>
      <c r="B81" s="23"/>
      <c r="C81" s="24"/>
      <c r="D81" s="24"/>
      <c r="E81" s="24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mergeCells count="2">
    <mergeCell ref="A1:C1"/>
    <mergeCell ref="D1:X1"/>
  </mergeCells>
  <conditionalFormatting sqref="A1:A12 A17:A26 Q18:Q27 A29:A38 A40:A49">
    <cfRule type="notContainsBlanks" dxfId="0" priority="1">
      <formula>LEN(TRIM(A1))&gt;0</formula>
    </cfRule>
  </conditionalFormatting>
  <conditionalFormatting sqref="B40:M49">
    <cfRule type="colorScale" priority="2">
      <colorScale>
        <cfvo type="min"/>
        <cfvo type="max"/>
        <color rgb="FFFFFFFF"/>
        <color rgb="FF57BB8A"/>
      </colorScale>
    </cfRule>
  </conditionalFormatting>
  <conditionalFormatting sqref="B55:D64">
    <cfRule type="colorScale" priority="3">
      <colorScale>
        <cfvo type="min"/>
        <cfvo type="max"/>
        <color rgb="FFFFFFFF"/>
        <color rgb="FF57BB8A"/>
      </colorScale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22.38"/>
    <col customWidth="1" min="10" max="11" width="14.5"/>
    <col customWidth="1" min="12" max="13" width="14.25"/>
    <col customWidth="1" min="14" max="14" width="14.75"/>
    <col customWidth="1" min="15" max="15" width="14.38"/>
    <col customWidth="1" min="16" max="16" width="14.13"/>
    <col customWidth="1" min="17" max="17" width="14.88"/>
    <col customWidth="1" min="18" max="19" width="14.38"/>
    <col customWidth="1" min="20" max="20" width="18.5"/>
    <col customWidth="1" min="21" max="21" width="14.75"/>
  </cols>
  <sheetData>
    <row r="1">
      <c r="A1" s="6" t="s">
        <v>23</v>
      </c>
      <c r="B1" s="7"/>
      <c r="C1" s="8"/>
      <c r="D1" s="9" t="s">
        <v>24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>
      <c r="A2" s="1" t="s">
        <v>0</v>
      </c>
      <c r="B2" s="1" t="s">
        <v>25</v>
      </c>
      <c r="C2" s="1" t="s">
        <v>26</v>
      </c>
      <c r="D2" s="10" t="s">
        <v>41</v>
      </c>
      <c r="E2" s="10" t="s">
        <v>42</v>
      </c>
      <c r="F2" s="10" t="s">
        <v>43</v>
      </c>
      <c r="G2" s="10" t="s">
        <v>44</v>
      </c>
      <c r="H2" s="10" t="s">
        <v>45</v>
      </c>
      <c r="I2" s="10" t="s">
        <v>46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57</v>
      </c>
      <c r="Q2" s="10" t="s">
        <v>58</v>
      </c>
      <c r="R2" s="10" t="s">
        <v>59</v>
      </c>
      <c r="S2" s="10" t="s">
        <v>60</v>
      </c>
      <c r="T2" s="10" t="s">
        <v>61</v>
      </c>
      <c r="U2" s="10" t="s">
        <v>62</v>
      </c>
      <c r="V2" s="10" t="s">
        <v>63</v>
      </c>
      <c r="W2" s="10" t="s">
        <v>64</v>
      </c>
      <c r="X2" s="10" t="s">
        <v>65</v>
      </c>
      <c r="Y2" s="10"/>
      <c r="Z2" s="10"/>
      <c r="AA2" s="10"/>
    </row>
    <row r="3">
      <c r="A3" s="3" t="s">
        <v>66</v>
      </c>
      <c r="B3" s="5" t="s">
        <v>50</v>
      </c>
      <c r="C3" s="11" t="s">
        <v>40</v>
      </c>
      <c r="D3" s="14">
        <v>-17.8399942012223</v>
      </c>
      <c r="E3" s="5">
        <v>-17.8961552732745</v>
      </c>
      <c r="F3" s="5">
        <v>-17.7952328852853</v>
      </c>
      <c r="G3" s="5">
        <v>-4306.82104008369</v>
      </c>
      <c r="H3" s="5">
        <v>-4306.82104008369</v>
      </c>
      <c r="I3" s="5">
        <v>-4306.82104008369</v>
      </c>
      <c r="J3" s="5">
        <v>-4307.51336386452</v>
      </c>
      <c r="K3" s="12">
        <v>-4306.85723128634</v>
      </c>
      <c r="L3" s="12">
        <v>-4307.2342960672</v>
      </c>
      <c r="M3" s="12">
        <v>-4307.5571719059</v>
      </c>
      <c r="N3" s="14">
        <v>-4307.48623263927</v>
      </c>
      <c r="O3" s="14">
        <v>-4307.32298668404</v>
      </c>
      <c r="P3" s="12">
        <v>92.216026069325</v>
      </c>
      <c r="Q3" s="12">
        <v>92.4174524544511</v>
      </c>
      <c r="R3" s="12">
        <v>92.4947273932926</v>
      </c>
      <c r="S3" s="22"/>
      <c r="T3" s="12"/>
      <c r="U3" s="12"/>
    </row>
    <row r="4">
      <c r="A4" s="3" t="s">
        <v>67</v>
      </c>
      <c r="B4" s="5" t="s">
        <v>50</v>
      </c>
      <c r="C4" s="11" t="s">
        <v>40</v>
      </c>
      <c r="D4" s="14">
        <v>-14.4912654059282</v>
      </c>
      <c r="E4" s="5">
        <v>-14.526449064265</v>
      </c>
      <c r="F4" s="5">
        <v>-14.4806379936318</v>
      </c>
      <c r="G4" s="5">
        <v>-3852.77881412186</v>
      </c>
      <c r="H4" s="5">
        <v>-3852.77881412186</v>
      </c>
      <c r="I4" s="5">
        <v>-3852.77881412186</v>
      </c>
      <c r="J4" s="5">
        <v>-3852.89917423417</v>
      </c>
      <c r="K4" s="12">
        <v>-3852.95349823002</v>
      </c>
      <c r="L4" s="12">
        <v>-3852.8809715809</v>
      </c>
      <c r="M4" s="12">
        <v>-3852.81659122046</v>
      </c>
      <c r="N4" s="14">
        <v>-3852.84328179725</v>
      </c>
      <c r="O4" s="14">
        <v>-3852.85677320072</v>
      </c>
      <c r="P4" s="12">
        <v>-97.1475706817351</v>
      </c>
      <c r="Q4" s="12">
        <v>-97.106461103186</v>
      </c>
      <c r="R4" s="12">
        <v>-97.2914246488106</v>
      </c>
      <c r="S4" s="22"/>
      <c r="T4" s="12"/>
      <c r="U4" s="12"/>
    </row>
    <row r="5">
      <c r="A5" s="3" t="s">
        <v>68</v>
      </c>
      <c r="B5" s="5" t="s">
        <v>50</v>
      </c>
      <c r="C5" s="11" t="s">
        <v>40</v>
      </c>
      <c r="D5" s="14">
        <v>-14.5214226540515</v>
      </c>
      <c r="E5" s="5">
        <v>-14.4982734857473</v>
      </c>
      <c r="F5" s="5">
        <v>-14.5075150031348</v>
      </c>
      <c r="G5" s="5">
        <v>-3172.46318922182</v>
      </c>
      <c r="H5" s="5">
        <v>-3172.46318922182</v>
      </c>
      <c r="I5" s="5">
        <v>-3172.46318922182</v>
      </c>
      <c r="J5" s="5">
        <v>-3172.643517663</v>
      </c>
      <c r="K5" s="12">
        <v>-3172.51000719403</v>
      </c>
      <c r="L5" s="12">
        <v>-3172.58688931299</v>
      </c>
      <c r="M5" s="12">
        <v>-3172.31668792105</v>
      </c>
      <c r="N5" s="14">
        <v>-3172.23608780536</v>
      </c>
      <c r="O5" s="14">
        <v>-3172.15811173816</v>
      </c>
      <c r="P5" s="14">
        <v>-112.314875647438</v>
      </c>
      <c r="Q5" s="14">
        <v>-112.391803160686</v>
      </c>
      <c r="R5" s="14">
        <v>-112.470970012413</v>
      </c>
      <c r="S5" s="22"/>
      <c r="T5" s="14"/>
      <c r="U5" s="14"/>
    </row>
    <row r="6">
      <c r="A6" s="3" t="s">
        <v>69</v>
      </c>
      <c r="B6" s="5" t="s">
        <v>50</v>
      </c>
      <c r="C6" s="11" t="s">
        <v>40</v>
      </c>
      <c r="D6" s="14">
        <v>-17.1039536361136</v>
      </c>
      <c r="E6" s="5">
        <v>-17.1260289641966</v>
      </c>
      <c r="F6" s="5">
        <v>-17.088869692729</v>
      </c>
      <c r="G6" s="5">
        <v>-3744.33265792385</v>
      </c>
      <c r="H6" s="5">
        <v>-3744.33265792385</v>
      </c>
      <c r="I6" s="5">
        <v>-3744.33265792385</v>
      </c>
      <c r="J6" s="5">
        <v>-3745.0257188643</v>
      </c>
      <c r="K6" s="12">
        <v>-3744.88301809495</v>
      </c>
      <c r="L6" s="12">
        <v>-3745.06936836465</v>
      </c>
      <c r="M6" s="12">
        <v>-3744.21320513289</v>
      </c>
      <c r="N6" s="14">
        <v>-3744.16494318155</v>
      </c>
      <c r="O6" s="14">
        <v>-3744.08466671314</v>
      </c>
      <c r="P6" s="12">
        <v>8.03459261654621</v>
      </c>
      <c r="Q6" s="12">
        <v>8.05050851177798</v>
      </c>
      <c r="R6" s="12">
        <v>8.15312037555638</v>
      </c>
      <c r="S6" s="22"/>
      <c r="T6" s="12"/>
      <c r="U6" s="12"/>
    </row>
    <row r="7">
      <c r="A7" s="3" t="s">
        <v>70</v>
      </c>
      <c r="B7" s="5" t="s">
        <v>50</v>
      </c>
      <c r="C7" s="11" t="s">
        <v>40</v>
      </c>
      <c r="D7" s="14">
        <v>-13.4045824278496</v>
      </c>
      <c r="E7" s="5">
        <v>-13.505450859014</v>
      </c>
      <c r="F7" s="5">
        <v>-13.4297032877605</v>
      </c>
      <c r="G7" s="5">
        <v>-3353.03654520882</v>
      </c>
      <c r="H7" s="5">
        <v>-3353.03654520882</v>
      </c>
      <c r="I7" s="5">
        <v>-3353.03654520882</v>
      </c>
      <c r="J7" s="5">
        <v>-3353.08129822572</v>
      </c>
      <c r="K7" s="12">
        <v>-3353.13375008708</v>
      </c>
      <c r="L7" s="12">
        <v>-3353.1822929646</v>
      </c>
      <c r="M7" s="12">
        <v>-3352.58061592709</v>
      </c>
      <c r="N7" s="14">
        <v>-3352.47090039678</v>
      </c>
      <c r="O7" s="14">
        <v>-3352.52307061141</v>
      </c>
      <c r="P7" s="12">
        <v>-170.373982637397</v>
      </c>
      <c r="Q7" s="12">
        <v>-170.226930291533</v>
      </c>
      <c r="R7" s="12">
        <v>-170.287575059695</v>
      </c>
      <c r="S7" s="22"/>
      <c r="T7" s="12"/>
      <c r="U7" s="12"/>
    </row>
    <row r="8">
      <c r="A8" s="3" t="s">
        <v>71</v>
      </c>
      <c r="B8" s="5" t="s">
        <v>50</v>
      </c>
      <c r="C8" s="11" t="s">
        <v>40</v>
      </c>
      <c r="D8" s="14">
        <v>-18.1020855272743</v>
      </c>
      <c r="E8" s="5">
        <v>-18.1872591047618</v>
      </c>
      <c r="F8" s="5">
        <v>-18.2022881770611</v>
      </c>
      <c r="G8" s="5">
        <v>-4753.41199252073</v>
      </c>
      <c r="H8" s="5">
        <v>-4753.41199252073</v>
      </c>
      <c r="I8" s="5">
        <v>-4753.41199252073</v>
      </c>
      <c r="J8" s="5">
        <v>-4753.46877046961</v>
      </c>
      <c r="K8" s="12">
        <v>-4753.76618922151</v>
      </c>
      <c r="L8" s="12">
        <v>-4753.39231940383</v>
      </c>
      <c r="M8" s="12">
        <v>-4751.91688518552</v>
      </c>
      <c r="N8" s="14">
        <v>-4751.96839477393</v>
      </c>
      <c r="O8" s="14">
        <v>-4751.92564288412</v>
      </c>
      <c r="P8" s="12">
        <v>-268.359137358483</v>
      </c>
      <c r="Q8" s="12">
        <v>-267.892906001145</v>
      </c>
      <c r="R8" s="12">
        <v>-267.930929161578</v>
      </c>
      <c r="S8" s="22"/>
      <c r="T8" s="12"/>
      <c r="U8" s="12"/>
    </row>
    <row r="9">
      <c r="A9" s="3" t="s">
        <v>73</v>
      </c>
      <c r="B9" s="5" t="s">
        <v>50</v>
      </c>
      <c r="C9" s="11" t="s">
        <v>40</v>
      </c>
      <c r="D9" s="14">
        <v>-14.0305562910121</v>
      </c>
      <c r="E9" s="5">
        <v>-14.1197314237022</v>
      </c>
      <c r="F9" s="5">
        <v>-14.0215911358722</v>
      </c>
      <c r="G9" s="5">
        <v>-4293.6230531132</v>
      </c>
      <c r="H9" s="5">
        <v>-4293.6230531132</v>
      </c>
      <c r="I9" s="5">
        <v>-4293.6230531132</v>
      </c>
      <c r="J9" s="5">
        <v>-4293.87349137713</v>
      </c>
      <c r="K9" s="12">
        <v>-4293.82784041</v>
      </c>
      <c r="L9" s="12">
        <v>-4293.89362335575</v>
      </c>
      <c r="M9" s="12">
        <v>-4293.830605308</v>
      </c>
      <c r="N9" s="14">
        <v>-4293.89000279532</v>
      </c>
      <c r="O9" s="14">
        <v>-4293.75900433974</v>
      </c>
      <c r="P9" s="12">
        <v>-175.905106749072</v>
      </c>
      <c r="Q9" s="12">
        <v>-175.884730323324</v>
      </c>
      <c r="R9" s="12">
        <v>-175.391409686492</v>
      </c>
      <c r="S9" s="22"/>
      <c r="T9" s="12"/>
      <c r="U9" s="12"/>
    </row>
    <row r="10">
      <c r="A10" s="3" t="s">
        <v>74</v>
      </c>
      <c r="B10" s="5" t="s">
        <v>50</v>
      </c>
      <c r="C10" s="11" t="s">
        <v>40</v>
      </c>
      <c r="D10" s="14">
        <v>-16.4018987780646</v>
      </c>
      <c r="E10" s="5">
        <v>-16.4457676650178</v>
      </c>
      <c r="F10" s="5">
        <v>-16.4962041223872</v>
      </c>
      <c r="G10" s="5">
        <v>-3330.87837797578</v>
      </c>
      <c r="H10" s="5">
        <v>-3330.87837797578</v>
      </c>
      <c r="I10" s="5">
        <v>-3330.87837797578</v>
      </c>
      <c r="J10" s="5">
        <v>-3330.75921005596</v>
      </c>
      <c r="K10" s="12">
        <v>-3330.81332286379</v>
      </c>
      <c r="L10" s="12">
        <v>-3330.74163936085</v>
      </c>
      <c r="M10" s="12">
        <v>-3330.32681814121</v>
      </c>
      <c r="N10" s="14">
        <v>-3331.01574542257</v>
      </c>
      <c r="O10" s="14">
        <v>-3330.49793985683</v>
      </c>
      <c r="P10" s="12">
        <v>-127.30029737798</v>
      </c>
      <c r="Q10" s="12">
        <v>-128.15265476863</v>
      </c>
      <c r="R10" s="12">
        <v>-129.081848701385</v>
      </c>
      <c r="S10" s="22"/>
      <c r="T10" s="12"/>
      <c r="U10" s="12"/>
    </row>
    <row r="11">
      <c r="A11" s="3" t="s">
        <v>75</v>
      </c>
      <c r="B11" s="5" t="s">
        <v>50</v>
      </c>
      <c r="C11" s="11" t="s">
        <v>40</v>
      </c>
      <c r="D11" s="14">
        <v>-12.3277532166487</v>
      </c>
      <c r="E11" s="5">
        <v>-12.3339255676039</v>
      </c>
      <c r="F11" s="5">
        <v>-12.2461619814637</v>
      </c>
      <c r="G11" s="5">
        <v>-2490.40287756943</v>
      </c>
      <c r="H11" s="5">
        <v>-2490.40287756943</v>
      </c>
      <c r="I11" s="5">
        <v>-2490.40287756943</v>
      </c>
      <c r="J11" s="5">
        <v>-2490.63941304385</v>
      </c>
      <c r="K11" s="12">
        <v>-2490.62743881985</v>
      </c>
      <c r="L11" s="12">
        <v>-2490.64274864735</v>
      </c>
      <c r="M11" s="12">
        <v>-2490.6028034406</v>
      </c>
      <c r="N11" s="12">
        <v>-2490.56411436073</v>
      </c>
      <c r="O11" s="14">
        <v>-2490.75212586319</v>
      </c>
      <c r="P11" s="12">
        <v>-65.077098106136</v>
      </c>
      <c r="Q11" s="12">
        <v>-64.9741074854862</v>
      </c>
      <c r="R11" s="12">
        <v>-64.9084971356117</v>
      </c>
      <c r="S11" s="22"/>
      <c r="T11" s="12"/>
      <c r="U11" s="12"/>
    </row>
    <row r="12">
      <c r="A12" s="5" t="s">
        <v>76</v>
      </c>
      <c r="B12" s="5" t="s">
        <v>50</v>
      </c>
      <c r="C12" s="11" t="s">
        <v>40</v>
      </c>
      <c r="D12" s="14">
        <v>-17.881324223778</v>
      </c>
      <c r="E12" s="5">
        <v>-17.9895349998083</v>
      </c>
      <c r="F12" s="5">
        <v>-17.9258789175771</v>
      </c>
      <c r="G12" s="5">
        <v>-4891.12164638679</v>
      </c>
      <c r="H12" s="5">
        <v>-4891.12164638679</v>
      </c>
      <c r="I12" s="5">
        <v>-4891.12164638679</v>
      </c>
      <c r="J12" s="5">
        <v>-4891.3454100404</v>
      </c>
      <c r="K12" s="12">
        <v>-4891.39498095734</v>
      </c>
      <c r="L12" s="12">
        <v>-4891.44676833149</v>
      </c>
      <c r="M12" s="12">
        <v>-4890.77606438057</v>
      </c>
      <c r="N12" s="12">
        <v>-4890.79981022813</v>
      </c>
      <c r="O12" s="14">
        <v>-4890.85965129486</v>
      </c>
      <c r="P12" s="12">
        <v>-282.031271125738</v>
      </c>
      <c r="Q12" s="12">
        <v>-282.106812908641</v>
      </c>
      <c r="R12" s="12">
        <v>-282.080674846343</v>
      </c>
      <c r="S12" s="22"/>
      <c r="T12" s="12"/>
      <c r="U12" s="12"/>
    </row>
    <row r="13">
      <c r="D13" s="14"/>
      <c r="E13" s="5"/>
      <c r="F13" s="5"/>
      <c r="G13" s="5"/>
      <c r="H13" s="5"/>
      <c r="I13" s="5"/>
      <c r="J13" s="5"/>
      <c r="K13" s="12"/>
      <c r="L13" s="12"/>
      <c r="M13" s="12"/>
      <c r="N13" s="14"/>
      <c r="O13" s="14"/>
      <c r="P13" s="12"/>
      <c r="Q13" s="12"/>
      <c r="R13" s="12"/>
    </row>
    <row r="14">
      <c r="D14" s="14"/>
      <c r="E14" s="5"/>
      <c r="F14" s="5"/>
      <c r="G14" s="5"/>
      <c r="H14" s="5"/>
      <c r="I14" s="5"/>
      <c r="J14" s="5"/>
      <c r="K14" s="12"/>
      <c r="L14" s="12"/>
      <c r="M14" s="14"/>
      <c r="N14" s="14"/>
      <c r="O14" s="14"/>
      <c r="P14" s="12"/>
      <c r="Q14" s="12"/>
      <c r="R14" s="12"/>
    </row>
    <row r="15">
      <c r="D15" s="14"/>
      <c r="E15" s="5"/>
      <c r="F15" s="5"/>
      <c r="G15" s="5"/>
      <c r="H15" s="5"/>
      <c r="I15" s="5"/>
      <c r="J15" s="5"/>
      <c r="K15" s="12"/>
      <c r="L15" s="12"/>
      <c r="M15" s="14"/>
      <c r="N15" s="14"/>
      <c r="O15" s="14"/>
      <c r="P15" s="12"/>
      <c r="Q15" s="12"/>
      <c r="R15" s="12"/>
    </row>
    <row r="16">
      <c r="D16" s="14"/>
      <c r="E16" s="5"/>
      <c r="F16" s="5"/>
      <c r="G16" s="5"/>
      <c r="H16" s="5"/>
      <c r="I16" s="5"/>
      <c r="J16" s="5"/>
      <c r="K16" s="12"/>
      <c r="L16" s="12"/>
      <c r="M16" s="14"/>
      <c r="N16" s="14"/>
      <c r="O16" s="14"/>
      <c r="P16" s="12"/>
      <c r="Q16" s="12"/>
      <c r="R16" s="12"/>
    </row>
    <row r="17">
      <c r="D17" s="14"/>
      <c r="E17" s="5"/>
      <c r="F17" s="5"/>
      <c r="G17" s="5"/>
      <c r="H17" s="5"/>
      <c r="I17" s="5"/>
      <c r="J17" s="5"/>
      <c r="K17" s="12"/>
      <c r="L17" s="12"/>
      <c r="M17" s="14"/>
      <c r="N17" s="21"/>
      <c r="O17" s="14"/>
      <c r="P17" s="12"/>
      <c r="Q17" s="12"/>
      <c r="R17" s="12"/>
    </row>
    <row r="18">
      <c r="D18" s="14"/>
      <c r="E18" s="5"/>
      <c r="F18" s="5"/>
      <c r="G18" s="5"/>
      <c r="H18" s="5"/>
      <c r="I18" s="3"/>
      <c r="J18" s="5"/>
      <c r="K18" s="12"/>
      <c r="L18" s="12"/>
      <c r="M18" s="14"/>
      <c r="N18" s="14"/>
      <c r="O18" s="14"/>
      <c r="P18" s="12"/>
      <c r="Q18" s="12"/>
      <c r="R18" s="12"/>
    </row>
    <row r="19">
      <c r="C19" s="24"/>
      <c r="D19" s="14"/>
      <c r="E19" s="5"/>
      <c r="F19" s="5"/>
      <c r="G19" s="5"/>
      <c r="H19" s="5"/>
      <c r="I19" s="5"/>
      <c r="J19" s="5"/>
      <c r="K19" s="12"/>
      <c r="L19" s="12"/>
      <c r="M19" s="14"/>
      <c r="N19" s="14"/>
      <c r="O19" s="14"/>
      <c r="P19" s="12"/>
      <c r="Q19" s="12"/>
      <c r="R19" s="12"/>
    </row>
    <row r="20">
      <c r="C20" s="24"/>
      <c r="D20" s="14"/>
      <c r="E20" s="5"/>
      <c r="F20" s="5"/>
      <c r="G20" s="5"/>
      <c r="H20" s="5"/>
      <c r="I20" s="5"/>
      <c r="J20" s="5"/>
      <c r="K20" s="12"/>
      <c r="L20" s="12"/>
      <c r="M20" s="14"/>
      <c r="N20" s="14"/>
      <c r="O20" s="14"/>
      <c r="P20" s="12"/>
      <c r="Q20" s="12"/>
      <c r="R20" s="12"/>
    </row>
    <row r="21">
      <c r="C21" s="24"/>
      <c r="D21" s="14"/>
      <c r="E21" s="5"/>
      <c r="F21" s="5"/>
      <c r="G21" s="5"/>
      <c r="H21" s="5"/>
      <c r="I21" s="5"/>
      <c r="J21" s="5"/>
      <c r="K21" s="12"/>
      <c r="L21" s="12"/>
      <c r="M21" s="14"/>
      <c r="N21" s="21"/>
      <c r="O21" s="14"/>
      <c r="P21" s="12"/>
      <c r="Q21" s="12"/>
      <c r="R21" s="12"/>
    </row>
    <row r="22">
      <c r="C22" s="24"/>
      <c r="D22" s="14"/>
      <c r="E22" s="5"/>
      <c r="F22" s="5"/>
      <c r="G22" s="5"/>
      <c r="H22" s="5"/>
      <c r="I22" s="3"/>
      <c r="J22" s="5"/>
      <c r="K22" s="12"/>
      <c r="L22" s="12"/>
      <c r="M22" s="14"/>
      <c r="N22" s="14"/>
      <c r="O22" s="14"/>
      <c r="P22" s="12"/>
      <c r="Q22" s="12"/>
      <c r="R22" s="12"/>
    </row>
    <row r="23">
      <c r="C23" s="24"/>
      <c r="D23" s="24"/>
      <c r="E23" s="24"/>
      <c r="F23" s="5"/>
      <c r="J23" s="5"/>
    </row>
    <row r="24">
      <c r="C24" s="24"/>
      <c r="D24" s="24"/>
      <c r="E24" s="24"/>
      <c r="F24" s="5"/>
      <c r="J24" s="5"/>
    </row>
    <row r="25">
      <c r="C25" s="24"/>
      <c r="D25" s="24"/>
      <c r="E25" s="24"/>
      <c r="F25" s="5"/>
      <c r="J25" s="5"/>
    </row>
    <row r="26">
      <c r="C26" s="24"/>
      <c r="D26" s="24"/>
      <c r="E26" s="24"/>
      <c r="F26" s="5"/>
      <c r="J26" s="5"/>
    </row>
    <row r="27">
      <c r="C27" s="24"/>
      <c r="D27" s="24"/>
      <c r="E27" s="24"/>
      <c r="F27" s="5"/>
      <c r="J27" s="5"/>
    </row>
    <row r="28">
      <c r="C28" s="24"/>
      <c r="D28" s="24"/>
      <c r="E28" s="24"/>
      <c r="F28" s="5"/>
    </row>
    <row r="29">
      <c r="C29" s="24"/>
      <c r="D29" s="24"/>
      <c r="E29" s="24"/>
      <c r="F29" s="5"/>
    </row>
  </sheetData>
  <mergeCells count="2">
    <mergeCell ref="A1:C1"/>
    <mergeCell ref="D1:X1"/>
  </mergeCells>
  <conditionalFormatting sqref="A1:A12">
    <cfRule type="notContainsBlanks" dxfId="0" priority="1">
      <formula>LEN(TRIM(A1))&gt;0</formula>
    </cfRule>
  </conditionalFormatting>
  <drawing r:id="rId1"/>
</worksheet>
</file>